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comments8.xml" ContentType="application/vnd.openxmlformats-officedocument.spreadsheetml.comments+xml"/>
  <Override PartName="/xl/theme/theme1.xml" ContentType="application/vnd.openxmlformats-officedocument.theme+xml"/>
  <Override PartName="/xl/comments6.xml" ContentType="application/vnd.openxmlformats-officedocument.spreadsheetml.comments+xml"/>
  <Override PartName="/xl/styles.xml" ContentType="application/vnd.openxmlformats-officedocument.spreadsheetml.styles+xml"/>
  <Override PartName="/xl/comments14.xml" ContentType="application/vnd.openxmlformats-officedocument.spreadsheetml.comments+xml"/>
  <Override PartName="/xl/comments12.xml" ContentType="application/vnd.openxmlformats-officedocument.spreadsheetml.comments+xml"/>
  <Override PartName="/xl/comments7.xml" ContentType="application/vnd.openxmlformats-officedocument.spreadsheetml.comments+xml"/>
  <Override PartName="/xl/drawings/vmlDrawing1.vml" ContentType="application/vnd.openxmlformats-officedocument.vmlDrawing"/>
  <Override PartName="/xl/drawings/vmlDrawing2.vml" ContentType="application/vnd.openxmlformats-officedocument.vmlDrawing"/>
  <Override PartName="/xl/drawings/vmlDrawing3.vml" ContentType="application/vnd.openxmlformats-officedocument.vmlDrawing"/>
  <Override PartName="/xl/drawings/vmlDrawing4.vml" ContentType="application/vnd.openxmlformats-officedocument.vmlDrawing"/>
  <Override PartName="/xl/drawings/vmlDrawing5.vml" ContentType="application/vnd.openxmlformats-officedocument.vmlDrawing"/>
  <Override PartName="/xl/drawings/vmlDrawing6.vml" ContentType="application/vnd.openxmlformats-officedocument.vmlDrawing"/>
  <Override PartName="/xl/drawings/vmlDrawing7.vml" ContentType="application/vnd.openxmlformats-officedocument.vmlDrawing"/>
  <Override PartName="/xl/drawings/vmlDrawing8.vml" ContentType="application/vnd.openxmlformats-officedocument.vmlDrawing"/>
  <Override PartName="/xl/drawings/vmlDrawing9.vml" ContentType="application/vnd.openxmlformats-officedocument.vmlDrawing"/>
  <Override PartName="/xl/drawings/vmlDrawing10.vml" ContentType="application/vnd.openxmlformats-officedocument.vmlDrawing"/>
  <Override PartName="/xl/drawings/vmlDrawing11.vml" ContentType="application/vnd.openxmlformats-officedocument.vmlDrawing"/>
  <Override PartName="/xl/drawings/vmlDrawing12.vml" ContentType="application/vnd.openxmlformats-officedocument.vmlDrawing"/>
  <Override PartName="/xl/comments13.xml" ContentType="application/vnd.openxmlformats-officedocument.spreadsheetml.comments+xml"/>
  <Override PartName="/xl/comments3.xml" ContentType="application/vnd.openxmlformats-officedocument.spreadsheetml.comments+xml"/>
  <Override PartName="/xl/comments5.xml" ContentType="application/vnd.openxmlformats-officedocument.spreadsheetml.comments+xml"/>
  <Override PartName="/xl/comments15.xml" ContentType="application/vnd.openxmlformats-officedocument.spreadsheetml.comments+xml"/>
  <Override PartName="/xl/comments19.xml" ContentType="application/vnd.openxmlformats-officedocument.spreadsheetml.comments+xml"/>
  <Override PartName="/xl/worksheets/_rels/sheet19.xml.rels" ContentType="application/vnd.openxmlformats-package.relationships+xml"/>
  <Override PartName="/xl/worksheets/_rels/sheet15.xml.rels" ContentType="application/vnd.openxmlformats-package.relationships+xml"/>
  <Override PartName="/xl/worksheets/_rels/sheet9.xml.rels" ContentType="application/vnd.openxmlformats-package.relationships+xml"/>
  <Override PartName="/xl/worksheets/_rels/sheet3.xml.rels" ContentType="application/vnd.openxmlformats-package.relationships+xml"/>
  <Override PartName="/xl/worksheets/_rels/sheet12.xml.rels" ContentType="application/vnd.openxmlformats-package.relationships+xml"/>
  <Override PartName="/xl/worksheets/_rels/sheet6.xml.rels" ContentType="application/vnd.openxmlformats-package.relationships+xml"/>
  <Override PartName="/xl/worksheets/_rels/sheet7.xml.rels" ContentType="application/vnd.openxmlformats-package.relationships+xml"/>
  <Override PartName="/xl/worksheets/_rels/sheet13.xml.rels" ContentType="application/vnd.openxmlformats-package.relationships+xml"/>
  <Override PartName="/xl/worksheets/_rels/sheet8.xml.rels" ContentType="application/vnd.openxmlformats-package.relationships+xml"/>
  <Override PartName="/xl/worksheets/_rels/sheet14.xml.rels" ContentType="application/vnd.openxmlformats-package.relationships+xml"/>
  <Override PartName="/xl/worksheets/_rels/sheet5.xml.rels" ContentType="application/vnd.openxmlformats-package.relationships+xml"/>
  <Override PartName="/xl/worksheets/_rels/sheet10.xml.rels" ContentType="application/vnd.openxmlformats-package.relationships+xml"/>
  <Override PartName="/xl/worksheets/sheet11.xml" ContentType="application/vnd.openxmlformats-officedocument.spreadsheetml.worksheet+xml"/>
  <Override PartName="/xl/worksheets/sheet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9.xml" ContentType="application/vnd.openxmlformats-officedocument.spreadsheetml.worksheet+xml"/>
  <Override PartName="/xl/worksheets/sheet14.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18.xml" ContentType="application/vnd.openxmlformats-officedocument.spreadsheetml.worksheet+xml"/>
  <Override PartName="/xl/worksheets/sheet17.xml" ContentType="application/vnd.openxmlformats-officedocument.spreadsheetml.worksheet+xml"/>
  <Override PartName="/xl/worksheets/sheet16.xml" ContentType="application/vnd.openxmlformats-officedocument.spreadsheetml.worksheet+xml"/>
  <Override PartName="/xl/worksheets/sheet15.xml" ContentType="application/vnd.openxmlformats-officedocument.spreadsheetml.worksheet+xml"/>
  <Override PartName="/xl/worksheets/sheet4.xml" ContentType="application/vnd.openxmlformats-officedocument.spreadsheetml.worksheet+xml"/>
  <Override PartName="/xl/worksheets/sheet1.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8.xml" ContentType="application/vnd.openxmlformats-officedocument.spreadsheetml.worksheet+xml"/>
  <Override PartName="/xl/worksheets/sheet13.xml" ContentType="application/vnd.openxmlformats-officedocument.spreadsheetml.worksheet+xml"/>
  <Override PartName="/xl/worksheets/sheet3.xml" ContentType="application/vnd.openxmlformats-officedocument.spreadsheetml.worksheet+xml"/>
  <Override PartName="/xl/comments9.xml" ContentType="application/vnd.openxmlformats-officedocument.spreadsheetml.comments+xml"/>
  <Override PartName="/xl/sharedStrings.xml" ContentType="application/vnd.openxmlformats-officedocument.spreadsheetml.sharedStrings+xml"/>
  <Override PartName="/xl/workbook.xml" ContentType="application/vnd.openxmlformats-officedocument.spreadsheetml.sheet.main+xml"/>
  <Override PartName="/xl/comments10.xml" ContentType="application/vnd.openxmlformats-officedocument.spreadsheetml.comment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tart" sheetId="1" state="visible" r:id="rId3"/>
    <sheet name="01 Finanzmathematik" sheetId="2" state="visible" r:id="rId4"/>
    <sheet name="02 Ertragswert allgemein" sheetId="3" state="visible" r:id="rId5"/>
    <sheet name="03 Ertragswert vereinfacht" sheetId="4" state="visible" r:id="rId6"/>
    <sheet name="04 Ertragswert periodisch" sheetId="5" state="visible" r:id="rId7"/>
    <sheet name="05 Sachwertverfahren" sheetId="6" state="visible" r:id="rId8"/>
    <sheet name="06 Vergleichs- &amp; Bodenwert" sheetId="7" state="visible" r:id="rId9"/>
    <sheet name="07 Liegenschaftszins" sheetId="8" state="visible" r:id="rId10"/>
    <sheet name="08 Alterswertminderung" sheetId="9" state="visible" r:id="rId11"/>
    <sheet name="09 Modernisierungspunkte" sheetId="10" state="visible" r:id="rId12"/>
    <sheet name="10 Bewirtschaftungskosten" sheetId="11" state="visible" r:id="rId13"/>
    <sheet name="11 Restwert &amp; Liquidation" sheetId="12" state="visible" r:id="rId14"/>
    <sheet name="12 Erbbaurecht" sheetId="13" state="visible" r:id="rId15"/>
    <sheet name="13 Rechte &amp; Belastungen" sheetId="14" state="visible" r:id="rId16"/>
    <sheet name="14 Beleihungswert" sheetId="15" state="visible" r:id="rId17"/>
    <sheet name="15 Interpolation" sheetId="16" state="visible" r:id="rId18"/>
    <sheet name="16 Sachwertfaktor-Matrix" sheetId="17" state="visible" r:id="rId19"/>
    <sheet name="17 GND &amp; NHK Referenz" sheetId="18" state="visible" r:id="rId20"/>
    <sheet name="18 Verkehrswert-Zusammenführung" sheetId="19" state="visible" r:id="rId21"/>
    <sheet name="19 Faktortabellen" sheetId="20" state="visible" r:id="rId22"/>
  </sheets>
  <calcPr iterateCount="100" refMode="A1" iterate="false" iterateDelta="0.0001"/>
  <extLst>
    <ext xmlns:loext="http://schemas.libreoffice.org/" uri="{7626C862-2A13-11E5-B345-FEFF819CDC9F}">
      <loext:extCalcPr stringRefSyntax="ExcelA1"/>
    </ext>
  </extLst>
</workbook>
</file>

<file path=xl/comments3.xml><?xml version="1.0" encoding="utf-8"?>
<comments xmlns="http://schemas.openxmlformats.org/spreadsheetml/2006/main" xmlns:xdr="http://schemas.openxmlformats.org/drawingml/2006/spreadsheetDrawing">
  <authors>
    <author>Unknown Author</author>
  </authors>
  <commentList>
    <comment ref="C6" authorId="0">
      <text>
        <r>
          <rPr>
            <sz val="10"/>
            <rFont val="Arial"/>
            <family val="2"/>
          </rPr>
          <t xml:space="preserve">Nettokaltmiete p. a., marktüblich</t>
        </r>
      </text>
    </comment>
    <comment ref="C7" authorId="0">
      <text>
        <r>
          <rPr>
            <sz val="10"/>
            <rFont val="Arial"/>
            <family val="2"/>
          </rPr>
          <t xml:space="preserve">Verwaltung + Instandh. + Mietausfallwagnis + n.u. Betriebskosten (Blatt 09)</t>
        </r>
      </text>
    </comment>
    <comment ref="C8" authorId="0">
      <text>
        <r>
          <rPr>
            <sz val="10"/>
            <rFont val="Arial"/>
            <family val="2"/>
          </rPr>
          <t xml:space="preserve">aus Vergleichswert/Bodenrichtwert (Blatt 06)</t>
        </r>
      </text>
    </comment>
    <comment ref="C9" authorId="0">
      <text>
        <r>
          <rPr>
            <sz val="10"/>
            <rFont val="Arial"/>
            <family val="2"/>
          </rPr>
          <t xml:space="preserve">vom Gutachterausschuss / Blatt 07</t>
        </r>
      </text>
    </comment>
    <comment ref="C10" authorId="0">
      <text>
        <r>
          <rPr>
            <sz val="10"/>
            <rFont val="Arial"/>
            <family val="2"/>
          </rPr>
          <t xml:space="preserve">GND – Alter, ggf. modifiziert (Blatt 08)</t>
        </r>
      </text>
    </comment>
    <comment ref="C22" authorId="0">
      <text>
        <r>
          <rPr>
            <sz val="10"/>
            <rFont val="Arial"/>
            <family val="2"/>
          </rPr>
          <t xml:space="preserve">Bauschäden, Instandhaltungsstau, Rechte/Belastungen</t>
        </r>
      </text>
    </comment>
  </commentList>
</comments>
</file>

<file path=xl/comments5.xml><?xml version="1.0" encoding="utf-8"?>
<comments xmlns="http://schemas.openxmlformats.org/spreadsheetml/2006/main" xmlns:xdr="http://schemas.openxmlformats.org/drawingml/2006/spreadsheetDrawing">
  <authors>
    <author>Unknown Author</author>
  </authors>
  <commentList>
    <comment ref="C8" authorId="0">
      <text>
        <r>
          <rPr>
            <sz val="10"/>
            <rFont val="Arial"/>
            <family val="2"/>
          </rPr>
          <t xml:space="preserve">z. B. vereinf. Ertragswert am Ende der Detailperiode</t>
        </r>
      </text>
    </comment>
  </commentList>
</comments>
</file>

<file path=xl/comments6.xml><?xml version="1.0" encoding="utf-8"?>
<comments xmlns="http://schemas.openxmlformats.org/spreadsheetml/2006/main" xmlns:xdr="http://schemas.openxmlformats.org/drawingml/2006/spreadsheetDrawing">
  <authors>
    <author>Unknown Author</author>
  </authors>
  <commentList>
    <comment ref="C6" authorId="0">
      <text>
        <r>
          <rPr>
            <sz val="10"/>
            <rFont val="Arial"/>
            <family val="2"/>
          </rPr>
          <t xml:space="preserve">DIN 277</t>
        </r>
      </text>
    </comment>
    <comment ref="C7" authorId="0">
      <text>
        <r>
          <rPr>
            <sz val="10"/>
            <rFont val="Arial"/>
            <family val="2"/>
          </rPr>
          <t xml:space="preserve">NHK 2010 inkl. Baunebenkosten, Basisjahr 2010 = 100</t>
        </r>
      </text>
    </comment>
    <comment ref="C8" authorId="0">
      <text>
        <r>
          <rPr>
            <sz val="10"/>
            <rFont val="Arial"/>
            <family val="2"/>
          </rPr>
          <t xml:space="preserve">Statistisches Bundesamt, Index zum Wertermittlungsstichtag</t>
        </r>
      </text>
    </comment>
    <comment ref="C9" authorId="0">
      <text>
        <r>
          <rPr>
            <sz val="10"/>
            <rFont val="Arial"/>
            <family val="2"/>
          </rPr>
          <t xml:space="preserve">Korrektur regionales Baukostenniveau</t>
        </r>
      </text>
    </comment>
    <comment ref="C12" authorId="0">
      <text>
        <r>
          <rPr>
            <sz val="10"/>
            <rFont val="Arial"/>
            <family val="2"/>
          </rPr>
          <t xml:space="preserve">Modellansatz nach Gebäudetyp (Anlage 1 SW-RL)</t>
        </r>
      </text>
    </comment>
    <comment ref="C13" authorId="0">
      <text>
        <r>
          <rPr>
            <sz val="10"/>
            <rFont val="Arial"/>
            <family val="2"/>
          </rPr>
          <t xml:space="preserve">Wird automatisch aus Blatt 09 (Modernisierung) übernommen. Für eigene Eingabe Quelle (F14) auf 'Manuell' stellen und RND in F13 eintragen.</t>
        </r>
      </text>
    </comment>
    <comment ref="C20" authorId="0">
      <text>
        <r>
          <rPr>
            <sz val="10"/>
            <rFont val="Arial"/>
            <family val="2"/>
          </rPr>
          <t xml:space="preserve">aus Vergleichswert/Bodenrichtwert – Blatt 06</t>
        </r>
      </text>
    </comment>
    <comment ref="C23" authorId="0">
      <text>
        <r>
          <rPr>
            <sz val="10"/>
            <rFont val="Arial"/>
            <family val="2"/>
          </rPr>
          <t xml:space="preserve">vom Gutachterausschuss, § 39 Abs. 1</t>
        </r>
      </text>
    </comment>
    <comment ref="C25" authorId="0">
      <text>
        <r>
          <rPr>
            <sz val="10"/>
            <rFont val="Arial"/>
            <family val="2"/>
          </rPr>
          <t xml:space="preserve">Bauschäden, Instandhaltungsstau, Rechte</t>
        </r>
      </text>
    </comment>
  </commentList>
</comments>
</file>

<file path=xl/comments7.xml><?xml version="1.0" encoding="utf-8"?>
<comments xmlns="http://schemas.openxmlformats.org/spreadsheetml/2006/main" xmlns:xdr="http://schemas.openxmlformats.org/drawingml/2006/spreadsheetDrawing">
  <authors>
    <author>Unknown Author</author>
  </authors>
  <commentList>
    <comment ref="C7" authorId="0">
      <text>
        <r>
          <rPr>
            <sz val="10"/>
            <rFont val="Arial"/>
            <family val="2"/>
          </rPr>
          <t xml:space="preserve">BORIS / Gutachterausschuss zum Stichtag</t>
        </r>
      </text>
    </comment>
    <comment ref="C10" authorId="0">
      <text>
        <r>
          <rPr>
            <sz val="10"/>
            <rFont val="Arial"/>
            <family val="2"/>
          </rPr>
          <t xml:space="preserve">aus Umrechnungstabelle des Gutachterausschusses (§ 26)</t>
        </r>
      </text>
    </comment>
  </commentList>
</comments>
</file>

<file path=xl/comments8.xml><?xml version="1.0" encoding="utf-8"?>
<comments xmlns="http://schemas.openxmlformats.org/spreadsheetml/2006/main" xmlns:xdr="http://schemas.openxmlformats.org/drawingml/2006/spreadsheetDrawing">
  <authors>
    <author>Unknown Author</author>
  </authors>
  <commentList>
    <comment ref="C10" authorId="0">
      <text>
        <r>
          <rPr>
            <sz val="10"/>
            <rFont val="Arial"/>
            <family val="2"/>
          </rPr>
          <t xml:space="preserve">Mit Daten→Was-wäre-wenn→Zielwertsuche: Abweichung (C16)=0 durch Ändern von C10</t>
        </r>
      </text>
    </comment>
  </commentList>
</comments>
</file>

<file path=xl/comments9.xml><?xml version="1.0" encoding="utf-8"?>
<comments xmlns="http://schemas.openxmlformats.org/spreadsheetml/2006/main" xmlns:xdr="http://schemas.openxmlformats.org/drawingml/2006/spreadsheetDrawing">
  <authors>
    <author>Unknown Author</author>
  </authors>
  <commentList>
    <comment ref="C20" authorId="0">
      <text>
        <r>
          <rPr>
            <sz val="10"/>
            <rFont val="Arial"/>
            <family val="2"/>
          </rPr>
          <t xml:space="preserve">Wird automatisch aus Blatt 09 (Modernisierung) übernommen. Für eigene Eingabe Quelle (F21) auf 'Manuell' stellen und RND in F20 eintragen.</t>
        </r>
      </text>
    </comment>
  </commentList>
</comments>
</file>

<file path=xl/comments10.xml><?xml version="1.0" encoding="utf-8"?>
<comments xmlns="http://schemas.openxmlformats.org/spreadsheetml/2006/main" xmlns:xdr="http://schemas.openxmlformats.org/drawingml/2006/spreadsheetDrawing">
  <authors>
    <author>Unknown Author</author>
  </authors>
  <commentList>
    <comment ref="C6" authorId="0">
      <text>
        <r>
          <rPr>
            <sz val="10"/>
            <rFont val="Arial"/>
            <family val="2"/>
          </rPr>
          <t xml:space="preserve">Orientierung Blatt 17 / Anlage 1</t>
        </r>
      </text>
    </comment>
    <comment ref="C27" authorId="0">
      <text>
        <r>
          <rPr>
            <sz val="10"/>
            <rFont val="Arial"/>
            <family val="2"/>
          </rPr>
          <t xml:space="preserve">Sicherheits-Floor; 0 = ohne</t>
        </r>
      </text>
    </comment>
    <comment ref="C28" authorId="0">
      <text>
        <r>
          <rPr>
            <sz val="10"/>
            <rFont val="Arial"/>
            <family val="2"/>
          </rPr>
          <t xml:space="preserve">ggf. amtl. Anlage-2-Tabellenwert eintragen</t>
        </r>
      </text>
    </comment>
    <comment ref="C30" authorId="0">
      <text>
        <r>
          <rPr>
            <sz val="10"/>
            <rFont val="Arial"/>
            <family val="2"/>
          </rPr>
          <t xml:space="preserve">Diese modifizierte RND wird automatisch in Blatt 05 (Sachwert) und Blatt 08 (Alterswertminderung) verwendet, solange dort die RND-Quelle auf 'Automatisch' steht.</t>
        </r>
      </text>
    </comment>
  </commentList>
</comments>
</file>

<file path=xl/comments12.xml><?xml version="1.0" encoding="utf-8"?>
<comments xmlns="http://schemas.openxmlformats.org/spreadsheetml/2006/main" xmlns:xdr="http://schemas.openxmlformats.org/drawingml/2006/spreadsheetDrawing">
  <authors>
    <author>Unknown Author</author>
  </authors>
  <commentList>
    <comment ref="C33" authorId="0">
      <text>
        <r>
          <rPr>
            <sz val="10"/>
            <rFont val="Arial"/>
            <family val="2"/>
          </rPr>
          <t xml:space="preserve">GrESt + Notar + Grundbuch</t>
        </r>
      </text>
    </comment>
  </commentList>
</comments>
</file>

<file path=xl/comments13.xml><?xml version="1.0" encoding="utf-8"?>
<comments xmlns="http://schemas.openxmlformats.org/spreadsheetml/2006/main" xmlns:xdr="http://schemas.openxmlformats.org/drawingml/2006/spreadsheetDrawing">
  <authors>
    <author>Unknown Author</author>
  </authors>
  <commentList>
    <comment ref="C7" authorId="0">
      <text>
        <r>
          <rPr>
            <sz val="10"/>
            <rFont val="Arial"/>
            <family val="2"/>
          </rPr>
          <t xml:space="preserve">Wert der baulichen Anlagen des Erbbauberechtigten</t>
        </r>
      </text>
    </comment>
    <comment ref="C11" authorId="0">
      <text>
        <r>
          <rPr>
            <sz val="10"/>
            <rFont val="Arial"/>
            <family val="2"/>
          </rPr>
          <t xml:space="preserve">vertraglich, häufig 2/3 bis voll</t>
        </r>
      </text>
    </comment>
  </commentList>
</comments>
</file>

<file path=xl/comments14.xml><?xml version="1.0" encoding="utf-8"?>
<comments xmlns="http://schemas.openxmlformats.org/spreadsheetml/2006/main" xmlns:xdr="http://schemas.openxmlformats.org/drawingml/2006/spreadsheetDrawing">
  <authors>
    <author>Unknown Author</author>
  </authors>
  <commentList>
    <comment ref="C15" authorId="0">
      <text>
        <r>
          <rPr>
            <sz val="10"/>
            <rFont val="Arial"/>
            <family val="2"/>
          </rPr>
          <t xml:space="preserve">aus amtl. Vervielfältiger-/Sterbetafel nach Alter &amp; Geschlecht (BMF/BewG Anlage 9)</t>
        </r>
      </text>
    </comment>
  </commentList>
</comments>
</file>

<file path=xl/comments15.xml><?xml version="1.0" encoding="utf-8"?>
<comments xmlns="http://schemas.openxmlformats.org/spreadsheetml/2006/main" xmlns:xdr="http://schemas.openxmlformats.org/drawingml/2006/spreadsheetDrawing">
  <authors>
    <author>Unknown Author</author>
  </authors>
  <commentList>
    <comment ref="C6" authorId="0">
      <text>
        <r>
          <rPr>
            <sz val="10"/>
            <rFont val="Arial"/>
            <family val="2"/>
          </rPr>
          <t xml:space="preserve">nachhaltig erzielbar, nicht Spitzenmiete</t>
        </r>
      </text>
    </comment>
    <comment ref="C10" authorId="0">
      <text>
        <r>
          <rPr>
            <sz val="10"/>
            <rFont val="Arial"/>
            <family val="2"/>
          </rPr>
          <t xml:space="preserve">Mindestsätze nach Objektart, BelWertV § 12</t>
        </r>
      </text>
    </comment>
    <comment ref="C17" authorId="0">
      <text>
        <r>
          <rPr>
            <sz val="10"/>
            <rFont val="Arial"/>
            <family val="2"/>
          </rPr>
          <t xml:space="preserve">aus Blatt 05 ohne Sachwertfaktor</t>
        </r>
      </text>
    </comment>
    <comment ref="C18" authorId="0">
      <text>
        <r>
          <rPr>
            <sz val="10"/>
            <rFont val="Arial"/>
            <family val="2"/>
          </rPr>
          <t xml:space="preserve">i. d. R. ≥ 10 %</t>
        </r>
      </text>
    </comment>
  </commentList>
</comments>
</file>

<file path=xl/comments19.xml><?xml version="1.0" encoding="utf-8"?>
<comments xmlns="http://schemas.openxmlformats.org/spreadsheetml/2006/main" xmlns:xdr="http://schemas.openxmlformats.org/drawingml/2006/spreadsheetDrawing">
  <authors>
    <author>Unknown Author</author>
  </authors>
  <commentList>
    <comment ref="C20" authorId="0">
      <text>
        <r>
          <rPr>
            <sz val="10"/>
            <rFont val="Arial"/>
            <family val="2"/>
          </rPr>
          <t xml:space="preserve">auf volle 1.000 € gerundet; ggf. überschreiben</t>
        </r>
      </text>
    </comment>
  </commentList>
</comments>
</file>

<file path=xl/sharedStrings.xml><?xml version="1.0" encoding="utf-8"?>
<sst xmlns="http://schemas.openxmlformats.org/spreadsheetml/2006/main" count="504" uniqueCount="455">
  <si>
    <t xml:space="preserve">MEIFERTS · GUTACHTER-RECHENWERK</t>
  </si>
  <si>
    <t xml:space="preserve">Wertermittlung nach ImmoWertV 2021 · Prüfungswerkzeug ISO/IEC 17024 · Sachwert- und Ertragswertverfahren</t>
  </si>
  <si>
    <t xml:space="preserve">BEDIENUNG: Nur die GELBEN Felder ausfüllen. Alle übrigen Zellen sind gesperrt und rechnen automatisch. Fehleingaben werden blockiert.</t>
  </si>
  <si>
    <t xml:space="preserve">INHALT / BLÄTTER</t>
  </si>
  <si>
    <t xml:space="preserve">01  Finanzmathematik</t>
  </si>
  <si>
    <t xml:space="preserve">Auf-/Abzinsung, Vervielfältiger, Renten- &amp; Annuitätenfaktoren</t>
  </si>
  <si>
    <t xml:space="preserve">02  Ertragswert – allgemein</t>
  </si>
  <si>
    <t xml:space="preserve">§§ 27–34 ImmoWertV · getrennte Boden-/Gebäudebetrachtung</t>
  </si>
  <si>
    <t xml:space="preserve">03  Ertragswert – vereinfacht</t>
  </si>
  <si>
    <t xml:space="preserve">Reinertrag × V + abgezinster Bodenwert</t>
  </si>
  <si>
    <t xml:space="preserve">04  Ertragswert – periodisch (DCF)</t>
  </si>
  <si>
    <t xml:space="preserve">Mehrperiodisch mit Restwert/Terminal Value</t>
  </si>
  <si>
    <t xml:space="preserve">05  Sachwertverfahren</t>
  </si>
  <si>
    <t xml:space="preserve">§§ 35–39 · NHK 2010, Baupreisindex, Alterswertminderung, Sachwertfaktor</t>
  </si>
  <si>
    <t xml:space="preserve">06  Vergleichs- &amp; Bodenwert</t>
  </si>
  <si>
    <t xml:space="preserve">Bodenrichtwert, Umrechnungskoeffizient, Tiefenkorrektur</t>
  </si>
  <si>
    <t xml:space="preserve">07  Liegenschaftszins</t>
  </si>
  <si>
    <t xml:space="preserve">Rückrechnung des LZ aus Kaufpreisen</t>
  </si>
  <si>
    <t xml:space="preserve">08  Alterswertminderung</t>
  </si>
  <si>
    <t xml:space="preserve">Linear · Ross · modifiziertes Alter nach Modernisierung</t>
  </si>
  <si>
    <t xml:space="preserve">09  Modernisierungspunkte</t>
  </si>
  <si>
    <t xml:space="preserve">ImmoWertV Anlage 2 · Punkteraster → modifizierte Restnutzungsdauer</t>
  </si>
  <si>
    <t xml:space="preserve">10  Bewirtschaftungskosten</t>
  </si>
  <si>
    <t xml:space="preserve">Verwaltung, Instandhaltung, Mietausfallwagnis, n.u. Betriebskosten</t>
  </si>
  <si>
    <t xml:space="preserve">11  Restwert &amp; Liquidation</t>
  </si>
  <si>
    <t xml:space="preserve">Liquidations-, Restwertverzinsung, Zwischennutzung, Bauträger-Residual</t>
  </si>
  <si>
    <t xml:space="preserve">12  Erbbaurecht</t>
  </si>
  <si>
    <t xml:space="preserve">Erbbauzins, Wert Erbbaurecht &amp; Erbbaugrundstück (ErbbauRG)</t>
  </si>
  <si>
    <t xml:space="preserve">13  Rechte &amp; Belastungen</t>
  </si>
  <si>
    <t xml:space="preserve">Wohnrecht, Nießbrauch, Leibrente, Wegerecht – Kapitalisierung</t>
  </si>
  <si>
    <t xml:space="preserve">14  Beleihungswert</t>
  </si>
  <si>
    <t xml:space="preserve">Ertrags-/Sachwert nach BelWertV, Sicherheitsabschläge</t>
  </si>
  <si>
    <t xml:space="preserve">15  Interpolation</t>
  </si>
  <si>
    <t xml:space="preserve">Lineare &amp; bilineare Interpolation für Tabellenwerte</t>
  </si>
  <si>
    <t xml:space="preserve">16  Sachwertfaktor-Matrix</t>
  </si>
  <si>
    <t xml:space="preserve">2D-Marktanpassung mit bilinearer Interpolation</t>
  </si>
  <si>
    <t xml:space="preserve">17  GND- &amp; NHK-Referenz</t>
  </si>
  <si>
    <t xml:space="preserve">Gesamtnutzungsdauern &amp; NHK-Standardstufen (Orientierung)</t>
  </si>
  <si>
    <t xml:space="preserve">18  Verkehrswert-Zusammenführung</t>
  </si>
  <si>
    <t xml:space="preserve">Gewichtung von Ertrags-, Sach- &amp; Vergleichswert</t>
  </si>
  <si>
    <t xml:space="preserve">19  Faktortabellen</t>
  </si>
  <si>
    <t xml:space="preserve">Vervielfältiger- &amp; Abzinsungstabellen 1–80 J. / 2–8 %</t>
  </si>
  <si>
    <t xml:space="preserve">BEDIENUNG</t>
  </si>
  <si>
    <t xml:space="preserve">›  Gelbe Zellen = Eingaben (blaue Schrift). Diese Werte ändern Sie für Ihren Fall.</t>
  </si>
  <si>
    <t xml:space="preserve">›  Schwarze/dunkle Zellen = Formeln. Nicht überschreiben – sie rechnen automatisch.</t>
  </si>
  <si>
    <t xml:space="preserve">›  Dunkelblaue Ergebniszeilen = Endwerte des jeweiligen Verfahrens.</t>
  </si>
  <si>
    <t xml:space="preserve">›  Alle Blätter sind unabhängig rechenbar; Vervielfältiger werden je Blatt selbst gebildet.</t>
  </si>
  <si>
    <t xml:space="preserve">›  Rundung: Ergebnisse sind kaufmännisch zu runden; Marktwert i. d. R. auf volle 1.000 €.</t>
  </si>
  <si>
    <t xml:space="preserve">RECHTSGRUNDLAGEN</t>
  </si>
  <si>
    <t xml:space="preserve">•  ImmoWertV 2021 (Immobilienwertermittlungsverordnung) – §§ 24–39</t>
  </si>
  <si>
    <t xml:space="preserve">•  Vergleichswert §§ 24–26 · Ertragswert §§ 27–34 · Sachwert §§ 35–39</t>
  </si>
  <si>
    <t xml:space="preserve">•  ErbbauRG · BelWertV · BauGB §§ 192 ff. (Gutachterausschüsse, Bodenrichtwerte)</t>
  </si>
  <si>
    <t xml:space="preserve">Werkzeug zur Prüfungsvorbereitung. Keine normativen NHK-/Vervielfältiger-Tabellen ersetzt; Tabellenwerte (NHK, Indizes, Sachwertfaktoren, Liegenschaftszins) sind objekt-/lageabhängig vom Gutachterausschuss zu übernehmen.</t>
  </si>
  <si>
    <t xml:space="preserve">FINANZMATHEMATIK · BARWERTFAKTOREN</t>
  </si>
  <si>
    <t xml:space="preserve">Grundlage aller Ertragswert- und Kapitalisierungsrechnungen · q = 1 + p</t>
  </si>
  <si>
    <t xml:space="preserve">EINGABE</t>
  </si>
  <si>
    <t xml:space="preserve">Zinssatz p (z. B. Liegenschaftszins)</t>
  </si>
  <si>
    <t xml:space="preserve">Laufzeit / Restnutzungsdauer n (Jahre)</t>
  </si>
  <si>
    <t xml:space="preserve">Zinsfaktor q = 1 + p</t>
  </si>
  <si>
    <t xml:space="preserve">FAKTOREN (nachschüssig)</t>
  </si>
  <si>
    <t xml:space="preserve">Aufzinsungsfaktor  q^n</t>
  </si>
  <si>
    <t xml:space="preserve">Endwert von 1 € heute nach n Jahren</t>
  </si>
  <si>
    <t xml:space="preserve">Abzinsungsfaktor  q^-n</t>
  </si>
  <si>
    <t xml:space="preserve">Barwert von 1 € in n Jahren</t>
  </si>
  <si>
    <t xml:space="preserve">Rentenbarwertfaktor (Vervielfältiger) V</t>
  </si>
  <si>
    <t xml:space="preserve">Barwert einer Rente von 1 €/Jahr über n Jahre</t>
  </si>
  <si>
    <t xml:space="preserve">Rentenendwertfaktor</t>
  </si>
  <si>
    <t xml:space="preserve">Endwert einer Rente von 1 €/Jahr</t>
  </si>
  <si>
    <t xml:space="preserve">Kapitalwiedergewinnungs-/Annuitätenfaktor</t>
  </si>
  <si>
    <t xml:space="preserve"> = 1 / V · Annuität je 1 € Kapital</t>
  </si>
  <si>
    <t xml:space="preserve">Tilgungsfaktor (Restwertverzinsung)</t>
  </si>
  <si>
    <t xml:space="preserve">Jährliche Tilgungsrate zur Ansammlung von 1 €</t>
  </si>
  <si>
    <t xml:space="preserve">ANWENDUNGSBEISPIEL</t>
  </si>
  <si>
    <t xml:space="preserve">Jährlicher Betrag (Rente / Reinertrag)</t>
  </si>
  <si>
    <t xml:space="preserve">Barwert = Betrag × Vervielfältiger</t>
  </si>
  <si>
    <t xml:space="preserve">Einmalbetrag in n Jahren</t>
  </si>
  <si>
    <t xml:space="preserve">Barwert heute = Betrag × Abzinsungsfaktor</t>
  </si>
  <si>
    <t xml:space="preserve">V (Vervielfältiger) ist der zentrale Faktor im Ertragswertverfahren: Gebäudereinertrag × V = Gebäudeertragswert.</t>
  </si>
  <si>
    <t xml:space="preserve">FAKTOREN (VORSCHÜSSIG) · Zahlung zu Periodenbeginn</t>
  </si>
  <si>
    <t xml:space="preserve">Rentenbarwertfaktor vorschüssig  (V × q)</t>
  </si>
  <si>
    <t xml:space="preserve">Barwert einer vorschüssigen Rente von 1 €/Jahr</t>
  </si>
  <si>
    <t xml:space="preserve">Rentenendwertfaktor vorschüssig  (REF × q)</t>
  </si>
  <si>
    <t xml:space="preserve">Endwert einer vorschüssigen Rente</t>
  </si>
  <si>
    <t xml:space="preserve">Annuitätenfaktor vorschüssig  (KWF / q)</t>
  </si>
  <si>
    <t xml:space="preserve">Annuität bei Zahlung im Voraus</t>
  </si>
  <si>
    <t xml:space="preserve">Vorschüssig = Zahlung zu Periodenbeginn (z. B. Erbbauzins, Mietvorauszahlung, vorschüssige Leibrente). Es gilt: vorschüssiger Faktor = nachschüssiger Faktor × q.</t>
  </si>
  <si>
    <t xml:space="preserve">INTERPOLIERTER VERVIELFÄLTIGER (lineare Tabelleninterpolation)</t>
  </si>
  <si>
    <t xml:space="preserve">Restnutzungsdauer n (Dezimal, z. B. 43,5)</t>
  </si>
  <si>
    <t xml:space="preserve">n unten  (abgerundet)</t>
  </si>
  <si>
    <t xml:space="preserve">n oben  (aufgerundet)</t>
  </si>
  <si>
    <t xml:space="preserve">Vervielfältiger bei n unten</t>
  </si>
  <si>
    <t xml:space="preserve">Vervielfältiger bei n oben</t>
  </si>
  <si>
    <t xml:space="preserve">interpolierter Vervielfältiger</t>
  </si>
  <si>
    <t xml:space="preserve">Kontrolle: exakter Vervielfältiger (Formel)</t>
  </si>
  <si>
    <t xml:space="preserve">Die amtliche Vervielfältigertabelle ist nur für ganze Jahre angegeben. Für eine gebrochene Restnutzungsdauer wird zwischen den Tabellenwerten von n unten und n oben linear interpoliert. Die Kontrollzeile zeigt den exakten Formelwert. Zinssatz p und q werden oben (Eingabe) gesetzt.</t>
  </si>
  <si>
    <t xml:space="preserve">ERTRAGSWERTVERFAHREN · ALLGEMEIN</t>
  </si>
  <si>
    <t xml:space="preserve">§§ 27–34 ImmoWertV · getrennte Ermittlung von Bodenwert und Gebäudeertragswert</t>
  </si>
  <si>
    <t xml:space="preserve">EINGABEN</t>
  </si>
  <si>
    <t xml:space="preserve">Jahresrohertrag (marktüblich erzielbare Erträge)</t>
  </si>
  <si>
    <t xml:space="preserve">Bewirtschaftungskosten gesamt</t>
  </si>
  <si>
    <t xml:space="preserve">Bodenwert</t>
  </si>
  <si>
    <t xml:space="preserve">Liegenschaftszinssatz p</t>
  </si>
  <si>
    <t xml:space="preserve">Restnutzungsdauer RND (Jahre)</t>
  </si>
  <si>
    <t xml:space="preserve">Vervielfältiger V (q, RND)</t>
  </si>
  <si>
    <t xml:space="preserve">BERECHNUNG</t>
  </si>
  <si>
    <t xml:space="preserve">Jahresrohertrag</t>
  </si>
  <si>
    <t xml:space="preserve">abzgl. Bewirtschaftungskosten</t>
  </si>
  <si>
    <t xml:space="preserve"> = Reinertrag des Grundstücks</t>
  </si>
  <si>
    <t xml:space="preserve">abzgl. Bodenwertverzinsung  (Bodenwert × p)</t>
  </si>
  <si>
    <t xml:space="preserve"> = Gebäudereinertrag</t>
  </si>
  <si>
    <t xml:space="preserve">Gebäudeertragswert  (Geb.-Reinertrag × V)</t>
  </si>
  <si>
    <t xml:space="preserve">zzgl. Bodenwert</t>
  </si>
  <si>
    <t xml:space="preserve"> = vorläufiger Ertragswert</t>
  </si>
  <si>
    <t xml:space="preserve">± besondere objektspez. Merkmale (boG)</t>
  </si>
  <si>
    <t xml:space="preserve">ERGEBNIS</t>
  </si>
  <si>
    <t xml:space="preserve">Ertragswert  (=  Marktwert i. S. § 6 Abs. 1)</t>
  </si>
  <si>
    <t xml:space="preserve">Reinertrag = Rohertrag − Bewirtschaftungskosten. Bodenwertverzinsung trennt den Bodenanteil ab; nur der Gebäudereinertrag wird über die Restnutzungsdauer kapitalisiert. Bodenwert wird voll addiert (zeitlich unbegrenzt nutzbar).</t>
  </si>
  <si>
    <t xml:space="preserve">ERTRAGSWERTVERFAHREN · VEREINFACHT</t>
  </si>
  <si>
    <t xml:space="preserve">Reinertrag × Vervielfältiger zzgl. auf die RND abgezinster Bodenwert</t>
  </si>
  <si>
    <t xml:space="preserve">Vervielfältiger V</t>
  </si>
  <si>
    <t xml:space="preserve">Reinertrag des Grundstücks</t>
  </si>
  <si>
    <t xml:space="preserve">kapitalisierter Reinertrag  (Reinertrag × V)</t>
  </si>
  <si>
    <t xml:space="preserve">abgezinster Bodenwert  (Bodenwert × q^-n)</t>
  </si>
  <si>
    <t xml:space="preserve">Ertragswert (vereinfacht)</t>
  </si>
  <si>
    <t xml:space="preserve">Im vereinfachten Verfahren wird der gesamte Reinertrag (inkl. Bodenanteil) kapitalisiert und der Bodenwert, der erst nach Ablauf der RND wieder „frei“ wird, auf den Stichtag abgezinst hinzugerechnet. Beide Ertragswertverfahren führen bei sauberer Eingabe zum selben Ergebnis.</t>
  </si>
  <si>
    <t xml:space="preserve">PERIODISCHES ERTRAGSWERTVERFAHREN (DCF)</t>
  </si>
  <si>
    <t xml:space="preserve">Mehrperiodische Diskontierung expliziter Cashflows zzgl. Restwert (Terminal Value)</t>
  </si>
  <si>
    <t xml:space="preserve">PARAMETER</t>
  </si>
  <si>
    <t xml:space="preserve">Diskontierungszinssatz p</t>
  </si>
  <si>
    <t xml:space="preserve">Detailbetrachtungszeitraum (Jahre, max. 10)</t>
  </si>
  <si>
    <t xml:space="preserve">Restwert am Ende (Terminal Value, undiskontiert)</t>
  </si>
  <si>
    <t xml:space="preserve">q = 1 + p</t>
  </si>
  <si>
    <t xml:space="preserve">CASHFLOW-REIHE</t>
  </si>
  <si>
    <t xml:space="preserve">Jahr t</t>
  </si>
  <si>
    <t xml:space="preserve">Reinertrag (€)</t>
  </si>
  <si>
    <t xml:space="preserve">Abzinsungsfaktor</t>
  </si>
  <si>
    <t xml:space="preserve">Barwert (€)</t>
  </si>
  <si>
    <t xml:space="preserve">RESTWERT &amp; ERGEBNIS</t>
  </si>
  <si>
    <t xml:space="preserve">Summe Barwerte der Reinerträge</t>
  </si>
  <si>
    <t xml:space="preserve">Barwert des Restwerts  (TV × q^-n)</t>
  </si>
  <si>
    <t xml:space="preserve">Ertragswert (DCF)</t>
  </si>
  <si>
    <t xml:space="preserve">Jeder Reinertrag wird mit q^-t auf den Stichtag abgezinst; der Restwert am Ende des Detailzeitraums (z. B. vereinfachter Ertragswert oder Liquidationswert) wird ebenfalls abgezinst. Reinerträge jenseits des eingestellten Detailzeitraums werden automatisch ausgeblendet.</t>
  </si>
  <si>
    <t xml:space="preserve">SACHWERTVERFAHREN</t>
  </si>
  <si>
    <t xml:space="preserve">§§ 35–39 ImmoWertV · NHK 2010, Baupreisindex, Alterswertminderung, Sachwertfaktor</t>
  </si>
  <si>
    <t xml:space="preserve">GEBÄUDEHERSTELLUNGSWERT</t>
  </si>
  <si>
    <t xml:space="preserve">Brutto-Grundfläche BGF (m²)</t>
  </si>
  <si>
    <t xml:space="preserve">Normalherstellungskosten NHK (€/m² BGF)</t>
  </si>
  <si>
    <t xml:space="preserve">Baupreisindex (Stichtag, Basis 2010=100)</t>
  </si>
  <si>
    <t xml:space="preserve">Regionalfaktor</t>
  </si>
  <si>
    <t xml:space="preserve">Herstellungskosten (Normalherstellungswert)</t>
  </si>
  <si>
    <t xml:space="preserve">ALTERSWERTMINDERUNG (linear)</t>
  </si>
  <si>
    <t xml:space="preserve">Gesamtnutzungsdauer GND (Jahre)</t>
  </si>
  <si>
    <t xml:space="preserve">Restnutzungsdauer RND (verwendet)</t>
  </si>
  <si>
    <t xml:space="preserve">↳ RND manuell</t>
  </si>
  <si>
    <t xml:space="preserve">Restwertanteil  RND / GND</t>
  </si>
  <si>
    <t xml:space="preserve">↳ RND-Quelle</t>
  </si>
  <si>
    <t xml:space="preserve">Automatisch</t>
  </si>
  <si>
    <t xml:space="preserve">Alterswertminderung  (1 − RND/GND)</t>
  </si>
  <si>
    <t xml:space="preserve"> = gealterter Gebäudewert</t>
  </si>
  <si>
    <t xml:space="preserve">WEITERE BESTANDTEILE</t>
  </si>
  <si>
    <t xml:space="preserve">zzgl. Außenanlagen</t>
  </si>
  <si>
    <t xml:space="preserve">zzgl. besondere Bauteile / bauliche Anlagen</t>
  </si>
  <si>
    <t xml:space="preserve"> = vorläufiger Sachwert</t>
  </si>
  <si>
    <t xml:space="preserve">MARKTANPASSUNG &amp; ERGEBNIS</t>
  </si>
  <si>
    <t xml:space="preserve">Sachwertfaktor (Marktanpassungsfaktor)</t>
  </si>
  <si>
    <t xml:space="preserve">Sachwert  (vorl. Sachwert × Sachwertfaktor)</t>
  </si>
  <si>
    <t xml:space="preserve">Sachwert  (= Marktwert)</t>
  </si>
  <si>
    <t xml:space="preserve">Reihenfolge § 39: Herstellungskosten → Alterswertminderung → + Außenanlagen + Bodenwert = vorläufiger Sachwert → × Sachwertfaktor (Marktanpassung) → ± boG = Sachwert/Marktwert. NHK stets über Baupreisindex auf den Stichtag anzupassen.</t>
  </si>
  <si>
    <t xml:space="preserve">VERGLEICHSWERT · BODENWERTERMITTLUNG</t>
  </si>
  <si>
    <t xml:space="preserve">§§ 24–26 ImmoWertV · Bodenrichtwert, Umrechnungskoeffizient, Tiefenkorrektur</t>
  </si>
  <si>
    <t xml:space="preserve">BODENWERT AUS BODENRICHTWERT</t>
  </si>
  <si>
    <t xml:space="preserve">Grundstücksfläche (m²)</t>
  </si>
  <si>
    <t xml:space="preserve">Bodenrichtwert (€/m²)</t>
  </si>
  <si>
    <t xml:space="preserve">GFZ des Bewertungsobjekts</t>
  </si>
  <si>
    <t xml:space="preserve">GFZ des Bodenrichtwertgrundstücks</t>
  </si>
  <si>
    <t xml:space="preserve">Umrechnungskoeffizient (GFZ-Anpassung)</t>
  </si>
  <si>
    <t xml:space="preserve">Tiefen-/Lagekorrektur</t>
  </si>
  <si>
    <t xml:space="preserve">Bereinigter Bodenwert (€/m²)</t>
  </si>
  <si>
    <t xml:space="preserve">Bodenwert gesamt</t>
  </si>
  <si>
    <t xml:space="preserve">VERGLEICHSWERT AUS KAUFPREISEN</t>
  </si>
  <si>
    <t xml:space="preserve">Vergleichsobjekt</t>
  </si>
  <si>
    <t xml:space="preserve">Kaufpreis (€)</t>
  </si>
  <si>
    <t xml:space="preserve">Fläche (m²)</t>
  </si>
  <si>
    <t xml:space="preserve">Preis €/m²</t>
  </si>
  <si>
    <t xml:space="preserve">Vergleich 1</t>
  </si>
  <si>
    <t xml:space="preserve">Vergleich 2</t>
  </si>
  <si>
    <t xml:space="preserve">Vergleich 3</t>
  </si>
  <si>
    <t xml:space="preserve">Mittlerer Vergleichspreis (€/m²)</t>
  </si>
  <si>
    <t xml:space="preserve">eigene Fläche (m²)</t>
  </si>
  <si>
    <t xml:space="preserve">Vergleichswert</t>
  </si>
  <si>
    <t xml:space="preserve">LIEGENSCHAFTSZINSSATZ – ABLEITUNG</t>
  </si>
  <si>
    <t xml:space="preserve">Rückrechnung des LZ aus einem realisierten Kaufpreis (iterativ über Zielwertsuche)</t>
  </si>
  <si>
    <t xml:space="preserve">EINGABEN AUS DER VERGLEICHSTRANSAKTION</t>
  </si>
  <si>
    <t xml:space="preserve">Kaufpreis (= Ertragswert)</t>
  </si>
  <si>
    <t xml:space="preserve">Jahresreinertrag</t>
  </si>
  <si>
    <t xml:space="preserve">Liegenschaftszins p (Startwert – iterieren)</t>
  </si>
  <si>
    <t xml:space="preserve">PROBERECHNUNG</t>
  </si>
  <si>
    <t xml:space="preserve">Gebäudereinertrag  (Reinertrag − Bodenwert×p)</t>
  </si>
  <si>
    <t xml:space="preserve">errechneter Ertragswert  (Geb.RE×V + Bodenwert)</t>
  </si>
  <si>
    <t xml:space="preserve">Abweichung zum Kaufpreis  (Ziel = 0)</t>
  </si>
  <si>
    <t xml:space="preserve">Abgeleiteter Liegenschaftszins</t>
  </si>
  <si>
    <t xml:space="preserve">Vorgehen: Zielwertsuche öffnen → Zielzelle C16, Zielwert 0, veränderbare Zelle C10. Excel ermittelt den Liegenschaftszins, bei dem der modellierte Ertragswert exakt dem realisierten Kaufpreis entspricht.</t>
  </si>
  <si>
    <t xml:space="preserve">ALTERSWERTMINDERUNG &amp; RESTNUTZUNGSDAUER</t>
  </si>
  <si>
    <t xml:space="preserve">GRUNDDATEN</t>
  </si>
  <si>
    <t xml:space="preserve">Baujahr</t>
  </si>
  <si>
    <t xml:space="preserve">Wertermittlungsstichtag (Jahr)</t>
  </si>
  <si>
    <t xml:space="preserve">tatsächliches Gebäudealter</t>
  </si>
  <si>
    <t xml:space="preserve">Herstellungskosten (Basis)</t>
  </si>
  <si>
    <t xml:space="preserve">A · LINEARE ALTERSWERTMINDERUNG (ohne Modernisierung)</t>
  </si>
  <si>
    <t xml:space="preserve">Restnutzungsdauer  GND − Alter</t>
  </si>
  <si>
    <t xml:space="preserve">Alterswertminderung  Alter/GND</t>
  </si>
  <si>
    <t xml:space="preserve">Wertminderungsbetrag</t>
  </si>
  <si>
    <t xml:space="preserve">verbleibender Gebäudewert</t>
  </si>
  <si>
    <t xml:space="preserve">B · ROSS (kombiniert linear/quadratisch)</t>
  </si>
  <si>
    <t xml:space="preserve">Wertminderung nach Ross</t>
  </si>
  <si>
    <t xml:space="preserve">verbleibender Gebäudewert (Ross)</t>
  </si>
  <si>
    <t xml:space="preserve">C · MODIFIZIERTES ALTER NACH MODERNISIERUNG</t>
  </si>
  <si>
    <t xml:space="preserve">verlängerte RND (verwendet)</t>
  </si>
  <si>
    <t xml:space="preserve">modifiziertes (fiktives) Alter  GND − RND_neu</t>
  </si>
  <si>
    <t xml:space="preserve">mod. Alterswertminderung  fikt.Alter/GND</t>
  </si>
  <si>
    <t xml:space="preserve">verbleibender Gebäudewert (modifiziert)</t>
  </si>
  <si>
    <t xml:space="preserve">Bei Modernisierung wird die Restnutzungsdauer geschätzt und daraus ein fiktives (modifiziertes) Gebäudealter (GND − RND_neu) abgeleitet. Dieses ersetzt das tatsächliche Alter in der linearen Wertminderung.</t>
  </si>
  <si>
    <t xml:space="preserve">MODERNISIERUNGSPUNKTE &amp; MODIFIZIERTE RND</t>
  </si>
  <si>
    <t xml:space="preserve">ImmoWertV 2021 Anlage 2 · Punkteraster → wirtschaftliche Restnutzungsdauer</t>
  </si>
  <si>
    <t xml:space="preserve">tatsächliches Gebäudealter (Jahre)</t>
  </si>
  <si>
    <t xml:space="preserve">PUNKTERASTER NACH ImmoWertV ANLAGE 2</t>
  </si>
  <si>
    <t xml:space="preserve">Modernisierungselement</t>
  </si>
  <si>
    <t xml:space="preserve">max. Punkte</t>
  </si>
  <si>
    <t xml:space="preserve">erreicht</t>
  </si>
  <si>
    <t xml:space="preserve">Dacherneuerung inkl. Verbesserung der Wärmedämmung</t>
  </si>
  <si>
    <t xml:space="preserve">Modernisierung der Fenster und Außentüren</t>
  </si>
  <si>
    <t xml:space="preserve">Modernisierung der Leitungssysteme (Strom/Gas/Wasser/Abwasser)</t>
  </si>
  <si>
    <t xml:space="preserve">Modernisierung der Heizungsanlage</t>
  </si>
  <si>
    <t xml:space="preserve">Wärmedämmung der Außenwände</t>
  </si>
  <si>
    <t xml:space="preserve">Modernisierung der Bäder</t>
  </si>
  <si>
    <t xml:space="preserve">Modernisierung des Innenausbaus (Decken, Fußböden, Treppen)</t>
  </si>
  <si>
    <t xml:space="preserve">Wesentliche Verbesserung der Grundrissgestaltung</t>
  </si>
  <si>
    <t xml:space="preserve">Summe Punkte</t>
  </si>
  <si>
    <t xml:space="preserve">MODERNISIERUNGSGRAD</t>
  </si>
  <si>
    <t xml:space="preserve">erreichte Punkte (max. 20)</t>
  </si>
  <si>
    <t xml:space="preserve">Einstufung</t>
  </si>
  <si>
    <t xml:space="preserve">MODIFIZIERTE RESTNUTZUNGSDAUER (Interpolation nach Punkten)</t>
  </si>
  <si>
    <t xml:space="preserve">lineare Rest-ND ohne Modernisierung  (GND − Alter)</t>
  </si>
  <si>
    <t xml:space="preserve">Mindest-RND (Floor, falls genutzt/instandgehalten)</t>
  </si>
  <si>
    <t xml:space="preserve">max. erreichbare RND bei umfassender Mod. (Anker)</t>
  </si>
  <si>
    <t xml:space="preserve">Gewicht  (Punkte / 20)</t>
  </si>
  <si>
    <t xml:space="preserve">modifizierte Restnutzungsdauer</t>
  </si>
  <si>
    <t xml:space="preserve">Punkteraster exakt nach ImmoWertV 2021 Anlage 2 (max. 20 Punkte). Die modifizierte RND wird transparent zwischen linearer Rest-ND (0 P) und der maximal erreichbaren RND bei umfassender Modernisierung (20 P) interpoliert. Alternativ den amtlichen RND-Wert der Anlage-2-Tabelle direkt als oberen Anker eintragen. Ergebnis in Blatt 05 (Sachwert) und Blatt 08 als RND übernehmen.</t>
  </si>
  <si>
    <t xml:space="preserve">BEWIRTSCHAFTUNGSKOSTEN</t>
  </si>
  <si>
    <t xml:space="preserve">Verwaltungs-, Instandhaltungs-, Mietausfallwagnis- und nicht umlegbare Betriebskosten</t>
  </si>
  <si>
    <t xml:space="preserve">BASIS</t>
  </si>
  <si>
    <t xml:space="preserve">Jahresrohertrag (Nettokaltmiete p. a.)</t>
  </si>
  <si>
    <t xml:space="preserve">Wohn-/Nutzfläche (m²)</t>
  </si>
  <si>
    <t xml:space="preserve">KOSTENPOSITIONEN</t>
  </si>
  <si>
    <t xml:space="preserve">Position</t>
  </si>
  <si>
    <t xml:space="preserve">% vom Rohertrag</t>
  </si>
  <si>
    <t xml:space="preserve">Betrag (€)</t>
  </si>
  <si>
    <t xml:space="preserve">Verwaltungskosten</t>
  </si>
  <si>
    <t xml:space="preserve">Instandhaltungskosten</t>
  </si>
  <si>
    <t xml:space="preserve">Mietausfallwagnis</t>
  </si>
  <si>
    <t xml:space="preserve">nicht umlegbare Betriebskosten</t>
  </si>
  <si>
    <t xml:space="preserve">Summe Bewirtschaftungskosten</t>
  </si>
  <si>
    <t xml:space="preserve">Reinertrag = Rohertrag − Bewirtschaftungskosten</t>
  </si>
  <si>
    <t xml:space="preserve">Den Summenbetrag (Zelle D14) in die Ertragswertblätter als „Bewirtschaftungskosten gesamt“ übernehmen. Instandhaltung kann alternativ als €/m² angesetzt werden – dann Prozentwert auf 0 setzen und Betrag direkt eintragen.</t>
  </si>
  <si>
    <t xml:space="preserve">RESTWERT-, LIQUIDATIONSWERT &amp; RESTWERTVERZINSUNG</t>
  </si>
  <si>
    <t xml:space="preserve">Bodenwert nach Freilegung, Zwischennutzung und Abzinsung künftiger Werte</t>
  </si>
  <si>
    <t xml:space="preserve">A · LIQUIDATIONSWERT (Bodenwert nach Abriss)</t>
  </si>
  <si>
    <t xml:space="preserve">Bodenwert (baureif, nach Freilegung)</t>
  </si>
  <si>
    <t xml:space="preserve">Freilegungs-/Abbruchkosten</t>
  </si>
  <si>
    <t xml:space="preserve">Liquidationswert (sofort)</t>
  </si>
  <si>
    <t xml:space="preserve">B · RESTWERTVERZINSUNG / ABZINSUNG KÜNFTIGER WERTE</t>
  </si>
  <si>
    <t xml:space="preserve">Zeitraum bis Verwertung (Jahre)</t>
  </si>
  <si>
    <t xml:space="preserve">Zinssatz p</t>
  </si>
  <si>
    <t xml:space="preserve">abgezinster Bodenwert</t>
  </si>
  <si>
    <t xml:space="preserve">abgezinste Freilegungskosten</t>
  </si>
  <si>
    <t xml:space="preserve">Barwert Bodenanteil nach Verwertung</t>
  </si>
  <si>
    <t xml:space="preserve">C · ZWISCHENNUTZUNG BIS VERWERTUNG</t>
  </si>
  <si>
    <t xml:space="preserve">Jahresreinertrag während Zwischennutzung</t>
  </si>
  <si>
    <t xml:space="preserve">Vervielfältiger V (p, Zwischennutzungsdauer)</t>
  </si>
  <si>
    <t xml:space="preserve">Barwert Zwischennutzung  (Reinertrag × V)</t>
  </si>
  <si>
    <t xml:space="preserve">Objektwert = Zwischennutzung + abgez. Bodenanteil</t>
  </si>
  <si>
    <t xml:space="preserve">Anwendung bei abgängiger Bausubstanz / wirtschaftlicher Überalterung: laufender Reinertrag der Zwischennutzung wird kapitalisiert, der erst nach Abriss/Verwertung realisierbare Bodenwert (abzgl. Freilegung) auf den Stichtag abgezinst. Bei sofort wirtschaftlicher Verwertung ist der Liquidationswert (A) maßgeblich.</t>
  </si>
  <si>
    <t xml:space="preserve">D · BAUTRÄGER-RESIDUALWERT (Grundstückspreis aus Projektentwicklung)</t>
  </si>
  <si>
    <t xml:space="preserve">erzielbarer Verkaufserlös (netto)</t>
  </si>
  <si>
    <t xml:space="preserve">abzgl. Baukosten inkl. Baunebenkosten</t>
  </si>
  <si>
    <t xml:space="preserve">abzgl. Vermarktungs-/Vertriebskosten (% vom Erlös)</t>
  </si>
  <si>
    <t xml:space="preserve">abzgl. Finanzierungskosten</t>
  </si>
  <si>
    <t xml:space="preserve">abzgl. Wagnis &amp; Gewinn (% vom Erlös)</t>
  </si>
  <si>
    <t xml:space="preserve"> = tragfähige Grundstücksinvestition (brutto, inkl. ENK)</t>
  </si>
  <si>
    <t xml:space="preserve">Erwerbsnebenkosten Grundstück (%)</t>
  </si>
  <si>
    <t xml:space="preserve">Grundstückswert (Residual, netto)</t>
  </si>
  <si>
    <t xml:space="preserve">Residualwertverfahren der Projektentwicklung: Vom erzielbaren Verkaufserlös werden Baukosten, Vertriebs- und Finanzierungskosten sowie Wagnis &amp; Gewinn abgezogen; der Rest ist die tragfähige Grundstücksinvestition. Herausrechnen der Erwerbsnebenkosten ergibt den maximal vertretbaren Grundstückskaufpreis.</t>
  </si>
  <si>
    <t xml:space="preserve">ERBBAURECHT (ErbbauRG)</t>
  </si>
  <si>
    <t xml:space="preserve">Finanzmathematische Bewertung von Erbbaurecht und Erbbaugrundstück</t>
  </si>
  <si>
    <t xml:space="preserve">Bodenwert (volles Eigentum)</t>
  </si>
  <si>
    <t xml:space="preserve">Gebäude-/Bauwerkswert (Ertrags-/Sachwert)</t>
  </si>
  <si>
    <t xml:space="preserve">vereinbarter Erbbauzins p. a.</t>
  </si>
  <si>
    <t xml:space="preserve">angemessener Bodenwertzins (Liegenschaftszins)</t>
  </si>
  <si>
    <t xml:space="preserve">Restlaufzeit Erbbaurecht (Jahre)</t>
  </si>
  <si>
    <t xml:space="preserve">Entschädigung bei Heimfall (% des Gebäudewerts)</t>
  </si>
  <si>
    <t xml:space="preserve">Abzinsungsfaktor q^-n</t>
  </si>
  <si>
    <t xml:space="preserve">ANGEMESSENER vs. VEREINBARTER ERBBAUZINS</t>
  </si>
  <si>
    <t xml:space="preserve">angemessener Erbbauzins  (Bodenwert × Zins)</t>
  </si>
  <si>
    <t xml:space="preserve">Erbbauzinsvorteil/-nachteil p. a.  (angem. − vereinb.)</t>
  </si>
  <si>
    <t xml:space="preserve">WERT DES ERBBAURECHTS (Erbbauberechtigter)</t>
  </si>
  <si>
    <t xml:space="preserve">Gebäudewert</t>
  </si>
  <si>
    <t xml:space="preserve"> + Barwert Erbbauzinsvorteil  (Vorteil × V)</t>
  </si>
  <si>
    <t xml:space="preserve">− abgezinster Heimfallverlust am Ende</t>
  </si>
  <si>
    <t xml:space="preserve">Wert des Erbbaurechts</t>
  </si>
  <si>
    <t xml:space="preserve">WERT DES ERBBAUGRUNDSTÜCKS (Eigentümer/Verpflichteter)</t>
  </si>
  <si>
    <t xml:space="preserve">Barwert der Erbbauzinszahlungen  (Zins × V)</t>
  </si>
  <si>
    <t xml:space="preserve"> + abgezinster Bodenwert (Heimfall)</t>
  </si>
  <si>
    <t xml:space="preserve"> + abgez. Entschädigungsanteil ./. (entfällt Eigentümer)</t>
  </si>
  <si>
    <t xml:space="preserve">Wert des Erbbaugrundstücks</t>
  </si>
  <si>
    <t xml:space="preserve">Vereinfachtes finanzmathematisches Modell: Der Erbbauberechtigte hält den Gebäudewert plus/minus den Barwert der Erbbauzins-Differenz, abzgl. des bei Heimfall nicht entschädigten Gebäudeanteils. Der Grundstückseigentümer hält den Barwert der Erbbauzinsen plus den auf den Heimfallzeitpunkt abgezinsten Bodenwert. Vertragsklauseln (Anpassung, Heimfall) im Einzelfall prüfen.</t>
  </si>
  <si>
    <t xml:space="preserve">RECHTE &amp; BELASTUNGEN – KAPITALISIERUNG</t>
  </si>
  <si>
    <t xml:space="preserve">Wohnungsrecht, Nießbrauch, Leibrente, wiederkehrende Lasten</t>
  </si>
  <si>
    <t xml:space="preserve">Kapitalisierungszinssatz p</t>
  </si>
  <si>
    <t xml:space="preserve">A · BEFRISTETES RECHT (feste Laufzeit)</t>
  </si>
  <si>
    <t xml:space="preserve">Jahreswert des Rechts (z. B. Mietwert Wohnrecht)</t>
  </si>
  <si>
    <t xml:space="preserve">Laufzeit (Jahre)</t>
  </si>
  <si>
    <t xml:space="preserve">Vervielfältiger V (p, Laufzeit)</t>
  </si>
  <si>
    <t xml:space="preserve">Kapitalwert des Rechts</t>
  </si>
  <si>
    <t xml:space="preserve">B · LEBENSLÄNGLICHES RECHT (Leibrente / Nießbrauch)</t>
  </si>
  <si>
    <t xml:space="preserve">Jahreswert (Nutzungs-/Rentenwert)</t>
  </si>
  <si>
    <t xml:space="preserve">Leibrentenbarwertfaktor (Kapitalwert lt. Tabelle)</t>
  </si>
  <si>
    <t xml:space="preserve">Kapitalwert des lebenslänglichen Rechts</t>
  </si>
  <si>
    <t xml:space="preserve">C · WERTMINDERUNG DES GRUNDSTÜCKS</t>
  </si>
  <si>
    <t xml:space="preserve">unbelasteter Verkehrswert</t>
  </si>
  <si>
    <t xml:space="preserve">Kapitalwert der Belastung (aus A oder B übernehmen)</t>
  </si>
  <si>
    <t xml:space="preserve">belasteter Verkehrswert</t>
  </si>
  <si>
    <t xml:space="preserve">Befristete Rechte werden mit dem Vervielfältiger der Laufzeit kapitalisiert; lebenslängliche Rechte mit dem altersabhängigen Leibrentenbarwertfaktor (amtliche Tabelle). Der Kapitalwert mindert den unbelasteten Verkehrswert.</t>
  </si>
  <si>
    <t xml:space="preserve">BELEIHUNGSWERT (BelWertV)</t>
  </si>
  <si>
    <t xml:space="preserve">Nachhaltig erzielbarer Wert · Ertrags- und Sachwert mit Sicherheitsabschlägen</t>
  </si>
  <si>
    <t xml:space="preserve">ERTRAGSWERT (BelWertV)</t>
  </si>
  <si>
    <t xml:space="preserve">nachhaltiger Jahresrohertrag</t>
  </si>
  <si>
    <t xml:space="preserve">Bewirtschaftungskosten (mind. Ansätze BelWertV)</t>
  </si>
  <si>
    <t xml:space="preserve">Reinertrag</t>
  </si>
  <si>
    <t xml:space="preserve">Bodenwert (vorsichtig)</t>
  </si>
  <si>
    <t xml:space="preserve">Kapitalisierungszins (BelWertV-Mindestsatz)</t>
  </si>
  <si>
    <t xml:space="preserve">Restnutzungsdauer (Jahre)</t>
  </si>
  <si>
    <t xml:space="preserve">Gebäudereinertrag (Reinertrag − Bodenwert×p)</t>
  </si>
  <si>
    <t xml:space="preserve">Ertragsbeleihungswert (vorl.)</t>
  </si>
  <si>
    <t xml:space="preserve">SACHWERT (BelWertV) – Kontrolle</t>
  </si>
  <si>
    <t xml:space="preserve">vorläufiger Sachwert</t>
  </si>
  <si>
    <t xml:space="preserve">Sicherheitsabschlag</t>
  </si>
  <si>
    <t xml:space="preserve">Sachbeleihungswert</t>
  </si>
  <si>
    <t xml:space="preserve">Beleihungswert (i. d. R. der niedrigere Wert)</t>
  </si>
  <si>
    <t xml:space="preserve">Der Beleihungswert nach BelWertV ist konservativ: nachhaltige Mieten, Mindest-Bewirtschaftungskosten, Mindest-Kapitalisierungszinssätze und Sicherheitsabschläge. Maßgeblich ist regelmäßig der niedrigere aus Ertrags- und Sachbeleihungswert.</t>
  </si>
  <si>
    <t xml:space="preserve">INTERPOLATION</t>
  </si>
  <si>
    <t xml:space="preserve">Lineare und bilineare Interpolation für Tabellenwerte (Vervielfältiger, Sachwertfaktor, Liegenschaftszins)</t>
  </si>
  <si>
    <t xml:space="preserve">A · LINEARE INTERPOLATION   y = y1 + (x−x1)/(x2−x1) · (y2−y1)</t>
  </si>
  <si>
    <t xml:space="preserve">Stützstelle x1  (z. B. RND 40)</t>
  </si>
  <si>
    <t xml:space="preserve">Wert y1  (z. B. Vervielfältiger bei 40)</t>
  </si>
  <si>
    <t xml:space="preserve">Stützstelle x2  (z. B. RND 45)</t>
  </si>
  <si>
    <t xml:space="preserve">Wert y2  (z. B. Vervielfältiger bei 45)</t>
  </si>
  <si>
    <t xml:space="preserve">Zielstelle x  (z. B. RND 43)</t>
  </si>
  <si>
    <t xml:space="preserve">interpolierter Wert y</t>
  </si>
  <si>
    <t xml:space="preserve">Anwendung für Zwischenwerte in Vervielfältiger-, Abzinsungs-, Sachwertfaktor-, Umrechnungskoeffizienten- oder Liegenschaftszins-Tabellen. x = unabhängige Größe (RND oder Zinssatz), y = abzulesender Faktor.</t>
  </si>
  <si>
    <t xml:space="preserve">B · BILINEARE INTERPOLATION (2D-Tabellen, z. B. Sachwertfaktor)</t>
  </si>
  <si>
    <t xml:space="preserve">x1  (linke Spaltenstützstelle)</t>
  </si>
  <si>
    <t xml:space="preserve">x2  (rechte Spaltenstützstelle)</t>
  </si>
  <si>
    <t xml:space="preserve">y1  (obere Zeilenstützstelle)</t>
  </si>
  <si>
    <t xml:space="preserve">y2  (untere Zeilenstützstelle)</t>
  </si>
  <si>
    <t xml:space="preserve">f(x1,y1)  Ecke oben-links</t>
  </si>
  <si>
    <t xml:space="preserve">f(x2,y1)  Ecke oben-rechts</t>
  </si>
  <si>
    <t xml:space="preserve">f(x1,y2)  Ecke unten-links</t>
  </si>
  <si>
    <t xml:space="preserve">f(x2,y2)  Ecke unten-rechts</t>
  </si>
  <si>
    <t xml:space="preserve">Zielstelle x</t>
  </si>
  <si>
    <t xml:space="preserve">Zielstelle y</t>
  </si>
  <si>
    <t xml:space="preserve">t = (x−x1)/(x2−x1)</t>
  </si>
  <si>
    <t xml:space="preserve">u = (y−y1)/(y2−y1)</t>
  </si>
  <si>
    <t xml:space="preserve">bilinear interpolierter Wert</t>
  </si>
  <si>
    <t xml:space="preserve">Für 2D-Tabellen (Sachwertfaktor über Bodenrichtwert × vorläufigem Sachwert): die vier umliegenden Tabellenwerte und ihre Stützstellen eintragen. Blatt 16 wendet dies automatisch auf eine Beispielmatrix an.</t>
  </si>
  <si>
    <t xml:space="preserve">SACHWERTFAKTOR-MATRIX (bilinear)</t>
  </si>
  <si>
    <t xml:space="preserve">Marktanpassungsfaktor in Abhängigkeit von Bodenrichtwert und vorläufigem Sachwert</t>
  </si>
  <si>
    <t xml:space="preserve">BEISPIELMATRIX · Spalten = Bodenrichtwert (€/m²) · Zeilen = vorläufiger Sachwert (€)</t>
  </si>
  <si>
    <t xml:space="preserve">Beispielwerte – durch die Sachwertfaktoren des zuständigen Gutachterausschusses ersetzen.</t>
  </si>
  <si>
    <t xml:space="preserve">vorl. Sachwert \ BRW</t>
  </si>
  <si>
    <t xml:space="preserve">ABLESUNG (automatische bilineare Interpolation)</t>
  </si>
  <si>
    <t xml:space="preserve">vorläufiger Sachwert (Ziel) €</t>
  </si>
  <si>
    <t xml:space="preserve">Bodenrichtwert (Ziel) €/m²</t>
  </si>
  <si>
    <t xml:space="preserve">› geklemmter BRW</t>
  </si>
  <si>
    <t xml:space="preserve">› Spalte links / rechts</t>
  </si>
  <si>
    <t xml:space="preserve">› geklemmter Sachwert</t>
  </si>
  <si>
    <t xml:space="preserve">› Zeile oben / unten</t>
  </si>
  <si>
    <t xml:space="preserve">› t / u</t>
  </si>
  <si>
    <t xml:space="preserve">abgelesener Sachwertfaktor</t>
  </si>
  <si>
    <t xml:space="preserve">→ Sachwert = vorläufiger Sachwert × Faktor</t>
  </si>
  <si>
    <t xml:space="preserve">Die Ablesung interpoliert bilinear zwischen den vier umliegenden Matrixwerten. Werte außerhalb der Matrix werden auf den Randwert geklemmt. Matrix und Stützstellen frei editierbar.</t>
  </si>
  <si>
    <t xml:space="preserve">GND- &amp; NHK-REFERENZ</t>
  </si>
  <si>
    <t xml:space="preserve">Orientierungswerte für Gesamtnutzungsdauer und NHK-Standardstufen</t>
  </si>
  <si>
    <t xml:space="preserve">GESAMTNUTZUNGSDAUER (GND) — Orientierungswerte</t>
  </si>
  <si>
    <t xml:space="preserve">Gebäudetyp</t>
  </si>
  <si>
    <t xml:space="preserve">GND (Jahre)</t>
  </si>
  <si>
    <t xml:space="preserve">Ein-/Zweifamilienhäuser (freistehend)</t>
  </si>
  <si>
    <t xml:space="preserve">70–80</t>
  </si>
  <si>
    <t xml:space="preserve">Reihen- und Doppelhäuser</t>
  </si>
  <si>
    <t xml:space="preserve">Mehrfamilienhäuser</t>
  </si>
  <si>
    <t xml:space="preserve">Wohnhäuser mit Mischnutzung</t>
  </si>
  <si>
    <t xml:space="preserve">60–70</t>
  </si>
  <si>
    <t xml:space="preserve">Büro- und Geschäftshäuser</t>
  </si>
  <si>
    <t xml:space="preserve">50–60</t>
  </si>
  <si>
    <t xml:space="preserve">Verbrauchermärkte / Discounter</t>
  </si>
  <si>
    <t xml:space="preserve">30–40</t>
  </si>
  <si>
    <t xml:space="preserve">Hallen- und Lagergebäude</t>
  </si>
  <si>
    <t xml:space="preserve">40–60</t>
  </si>
  <si>
    <t xml:space="preserve">Hotels</t>
  </si>
  <si>
    <t xml:space="preserve">40–50</t>
  </si>
  <si>
    <t xml:space="preserve">Parkhäuser / Tiefgaragen</t>
  </si>
  <si>
    <t xml:space="preserve">Orientierungswerte; maßgeblich sind die GND-Ansätze der ImmoWertV-Anlagen bzw. das begründete Sachverständigenermessen.</t>
  </si>
  <si>
    <t xml:space="preserve">NHK-STANDARDSTUFEN (Prinzip)</t>
  </si>
  <si>
    <t xml:space="preserve">Standardstufe</t>
  </si>
  <si>
    <t xml:space="preserve">Ausstattungs-/Baustandard</t>
  </si>
  <si>
    <t xml:space="preserve">Stufe 1</t>
  </si>
  <si>
    <t xml:space="preserve">sehr einfacher Standard</t>
  </si>
  <si>
    <t xml:space="preserve">Stufe 2</t>
  </si>
  <si>
    <t xml:space="preserve">einfacher Standard</t>
  </si>
  <si>
    <t xml:space="preserve">Stufe 3</t>
  </si>
  <si>
    <t xml:space="preserve">mittlerer / durchschnittlicher Standard</t>
  </si>
  <si>
    <t xml:space="preserve">Stufe 4</t>
  </si>
  <si>
    <t xml:space="preserve">gehobener Standard</t>
  </si>
  <si>
    <t xml:space="preserve">Stufe 5</t>
  </si>
  <si>
    <t xml:space="preserve">aufwendiger / stark gehobener Standard</t>
  </si>
  <si>
    <t xml:space="preserve">Konkrete NHK 2010 (€/m² BGF) je Gebäudeart und Standardstufe aus den NHK-Tabellen entnehmen; stets über den Baupreisindex auf den Stichtag umrechnen.</t>
  </si>
  <si>
    <t xml:space="preserve">NHK-SCHNELLUMRECHNUNG</t>
  </si>
  <si>
    <t xml:space="preserve">NHK 2010 (€/m² BGF, Basisjahr 2010 = 100)</t>
  </si>
  <si>
    <t xml:space="preserve">Baupreisindex zum Stichtag</t>
  </si>
  <si>
    <t xml:space="preserve">NHK zum Stichtag (€/m² BGF)</t>
  </si>
  <si>
    <t xml:space="preserve">VERKEHRSWERT-ZUSAMMENFÜHRUNG</t>
  </si>
  <si>
    <t xml:space="preserve">Gewichtete Zusammenführung der Wertermittlungsverfahren (§§ 6, 8 ImmoWertV)</t>
  </si>
  <si>
    <t xml:space="preserve">ERGEBNISSE DER VERFAHREN (verknüpft)</t>
  </si>
  <si>
    <t xml:space="preserve">Vergleichswert (Blatt 06)</t>
  </si>
  <si>
    <t xml:space="preserve">Ertragswert (Blatt 02)</t>
  </si>
  <si>
    <t xml:space="preserve">Sachwert (Blatt 05)</t>
  </si>
  <si>
    <t xml:space="preserve">GEWICHTUNG</t>
  </si>
  <si>
    <t xml:space="preserve">Verfahren</t>
  </si>
  <si>
    <t xml:space="preserve">Wert (€)</t>
  </si>
  <si>
    <t xml:space="preserve">Gewicht</t>
  </si>
  <si>
    <t xml:space="preserve">Beitrag (€)</t>
  </si>
  <si>
    <t xml:space="preserve">Ertragswert</t>
  </si>
  <si>
    <t xml:space="preserve">Sachwert</t>
  </si>
  <si>
    <t xml:space="preserve">Summe</t>
  </si>
  <si>
    <t xml:space="preserve">Prüfung: Summe Gewichte = 100 %</t>
  </si>
  <si>
    <t xml:space="preserve">gewichteter Verkehrswert</t>
  </si>
  <si>
    <t xml:space="preserve">gewählter Verkehrswert (gerundet)</t>
  </si>
  <si>
    <t xml:space="preserve">Begründung der Gewichtung</t>
  </si>
  <si>
    <t xml:space="preserve">Marktüblich für diese Objektart: Ertragswert führend, Sachwert stützend. Vergleichswert nachrangig mangels Vergleichsfällen.</t>
  </si>
  <si>
    <t xml:space="preserve">Die Verfahren werden nicht schematisch gemittelt, sondern nach Aussagekraft im Einzelfall gewichtet (§ 6 Abs. 1 ImmoWertV). Die Gewichtung ist im Gutachten zu begründen. Werte werden live aus den Blättern 02, 05 und 06 gezogen.</t>
  </si>
  <si>
    <t xml:space="preserve">FAKTORTABELLEN</t>
  </si>
  <si>
    <t xml:space="preserve">Vervielfältiger V (Rentenbarwertfaktor) und Abzinsungsfaktor q^-n nach n und p</t>
  </si>
  <si>
    <t xml:space="preserve">VERVIELFÄLTIGER  V = (qⁿ−1) / (qⁿ·(q−1))   ·  Spalten = Zinssatz p</t>
  </si>
  <si>
    <t xml:space="preserve">n \ p</t>
  </si>
  <si>
    <t xml:space="preserve">ABZINSUNGSFAKTOR  q⁻ⁿ = 1 / (1+p)ⁿ   ·  Spalten = Zinssatz p</t>
  </si>
  <si>
    <t xml:space="preserve">Nachschüssige Rente. Zwischenwerte ggf. linear interpolieren. Werte entsprechen den amtlichen Vervielfältigertabellen (Anlage zur ImmoWertV / WertR).</t>
  </si>
</sst>
</file>

<file path=xl/styles.xml><?xml version="1.0" encoding="utf-8"?>
<styleSheet xmlns="http://schemas.openxmlformats.org/spreadsheetml/2006/main">
  <numFmts count="17">
    <numFmt numFmtId="164" formatCode="General"/>
    <numFmt numFmtId="165" formatCode="0.000%"/>
    <numFmt numFmtId="166" formatCode="0"/>
    <numFmt numFmtId="167" formatCode="0.000000"/>
    <numFmt numFmtId="168" formatCode="#,##0.00&quot; €&quot;"/>
    <numFmt numFmtId="169" formatCode="#,##0.00"/>
    <numFmt numFmtId="170" formatCode="#,##0&quot; €&quot;"/>
    <numFmt numFmtId="171" formatCode="#,##0.00&quot; m²&quot;"/>
    <numFmt numFmtId="172" formatCode="0.0%"/>
    <numFmt numFmtId="173" formatCode="0&quot; J.&quot;"/>
    <numFmt numFmtId="174" formatCode="General"/>
    <numFmt numFmtId="175" formatCode="0&quot; Jahre&quot;"/>
    <numFmt numFmtId="176" formatCode="#,##0"/>
    <numFmt numFmtId="177" formatCode="0.00"/>
    <numFmt numFmtId="178" formatCode="0.000"/>
    <numFmt numFmtId="179" formatCode="@"/>
    <numFmt numFmtId="180" formatCode="0.0000"/>
  </numFmts>
  <fonts count="22">
    <font>
      <sz val="11"/>
      <color theme="1"/>
      <name val="Calibri"/>
      <family val="2"/>
      <charset val="1"/>
    </font>
    <font>
      <sz val="10"/>
      <name val="Arial"/>
      <family val="0"/>
    </font>
    <font>
      <sz val="10"/>
      <name val="Arial"/>
      <family val="0"/>
    </font>
    <font>
      <sz val="10"/>
      <name val="Arial"/>
      <family val="0"/>
    </font>
    <font>
      <b val="true"/>
      <sz val="15"/>
      <color rgb="FFFFFFFF"/>
      <name val="Arial"/>
      <family val="0"/>
      <charset val="1"/>
    </font>
    <font>
      <i val="true"/>
      <sz val="9"/>
      <color rgb="FF5A6472"/>
      <name val="Arial"/>
      <family val="0"/>
      <charset val="1"/>
    </font>
    <font>
      <b val="true"/>
      <sz val="9"/>
      <color rgb="FFFFFFFF"/>
      <name val="Arial"/>
      <family val="0"/>
      <charset val="1"/>
    </font>
    <font>
      <b val="true"/>
      <sz val="10"/>
      <color rgb="FFFFFFFF"/>
      <name val="Arial"/>
      <family val="0"/>
      <charset val="1"/>
    </font>
    <font>
      <b val="true"/>
      <sz val="10"/>
      <color rgb="FF1B2B45"/>
      <name val="Arial"/>
      <family val="0"/>
      <charset val="1"/>
    </font>
    <font>
      <sz val="9"/>
      <color rgb="FF5A6472"/>
      <name val="Arial"/>
      <family val="0"/>
      <charset val="1"/>
    </font>
    <font>
      <i val="true"/>
      <sz val="8"/>
      <color rgb="FF8A929C"/>
      <name val="Arial"/>
      <family val="0"/>
      <charset val="1"/>
    </font>
    <font>
      <sz val="10"/>
      <color rgb="FF1B2B45"/>
      <name val="Arial"/>
      <family val="0"/>
      <charset val="1"/>
    </font>
    <font>
      <b val="true"/>
      <sz val="10"/>
      <color rgb="FF0000FF"/>
      <name val="Arial"/>
      <family val="0"/>
      <charset val="1"/>
    </font>
    <font>
      <b val="true"/>
      <sz val="11"/>
      <color rgb="FF1B2B45"/>
      <name val="Arial"/>
      <family val="0"/>
      <charset val="1"/>
    </font>
    <font>
      <b val="true"/>
      <sz val="11"/>
      <color rgb="FFFFFFFF"/>
      <name val="Arial"/>
      <family val="0"/>
      <charset val="1"/>
    </font>
    <font>
      <sz val="10"/>
      <name val="Arial"/>
      <family val="2"/>
    </font>
    <font>
      <b val="true"/>
      <sz val="10"/>
      <color rgb="FF006100"/>
      <name val="Arial"/>
      <family val="0"/>
      <charset val="1"/>
    </font>
    <font>
      <sz val="9"/>
      <color rgb="FF1B2B45"/>
      <name val="Arial"/>
      <family val="0"/>
      <charset val="1"/>
    </font>
    <font>
      <b val="true"/>
      <sz val="10"/>
      <color rgb="FFB8935A"/>
      <name val="Arial"/>
      <family val="0"/>
      <charset val="1"/>
    </font>
    <font>
      <b val="true"/>
      <sz val="9"/>
      <color rgb="FF1B2B45"/>
      <name val="Arial"/>
      <family val="0"/>
      <charset val="1"/>
    </font>
    <font>
      <sz val="10"/>
      <color rgb="FF006100"/>
      <name val="Arial"/>
      <family val="0"/>
      <charset val="1"/>
    </font>
    <font>
      <i val="true"/>
      <sz val="9"/>
      <color rgb="FF0000FF"/>
      <name val="Arial"/>
      <family val="0"/>
      <charset val="1"/>
    </font>
  </fonts>
  <fills count="7">
    <fill>
      <patternFill patternType="none"/>
    </fill>
    <fill>
      <patternFill patternType="gray125"/>
    </fill>
    <fill>
      <patternFill patternType="solid">
        <fgColor rgb="FF1B2B45"/>
        <bgColor rgb="FF003366"/>
      </patternFill>
    </fill>
    <fill>
      <patternFill patternType="solid">
        <fgColor rgb="FFB8935A"/>
        <bgColor rgb="FF8A929C"/>
      </patternFill>
    </fill>
    <fill>
      <patternFill patternType="solid">
        <fgColor rgb="FFFFF7DC"/>
        <bgColor rgb="FFF3EEE2"/>
      </patternFill>
    </fill>
    <fill>
      <patternFill patternType="solid">
        <fgColor rgb="FFEDEEF0"/>
        <bgColor rgb="FFF3EEE2"/>
      </patternFill>
    </fill>
    <fill>
      <patternFill patternType="solid">
        <fgColor rgb="FFF3EEE2"/>
        <bgColor rgb="FFEDEEF0"/>
      </patternFill>
    </fill>
  </fills>
  <borders count="3">
    <border diagonalUp="false" diagonalDown="false">
      <left/>
      <right/>
      <top/>
      <bottom/>
      <diagonal/>
    </border>
    <border diagonalUp="false" diagonalDown="false">
      <left style="thin">
        <color rgb="FFC9CCD1"/>
      </left>
      <right style="thin">
        <color rgb="FFC9CCD1"/>
      </right>
      <top style="thin">
        <color rgb="FFC9CCD1"/>
      </top>
      <bottom style="thin">
        <color rgb="FFC9CCD1"/>
      </bottom>
      <diagonal/>
    </border>
    <border diagonalUp="false" diagonalDown="false">
      <left style="medium">
        <color rgb="FF1B2B45"/>
      </left>
      <right style="medium">
        <color rgb="FF1B2B45"/>
      </right>
      <top style="medium">
        <color rgb="FF1B2B45"/>
      </top>
      <bottom style="medium">
        <color rgb="FF1B2B45"/>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6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general" vertical="center" textRotation="0" wrapText="false" indent="1" shrinkToFit="false"/>
      <protection locked="true" hidden="false"/>
    </xf>
    <xf numFmtId="164" fontId="5" fillId="0" borderId="0" xfId="0" applyFont="true" applyBorder="true" applyAlignment="true" applyProtection="false">
      <alignment horizontal="general" vertical="center" textRotation="0" wrapText="false" indent="1" shrinkToFit="false"/>
      <protection locked="true" hidden="false"/>
    </xf>
    <xf numFmtId="164" fontId="6" fillId="3" borderId="0" xfId="0" applyFont="true" applyBorder="true" applyAlignment="true" applyProtection="false">
      <alignment horizontal="center" vertical="center" textRotation="0" wrapText="false" indent="0" shrinkToFit="false"/>
      <protection locked="true" hidden="false"/>
    </xf>
    <xf numFmtId="164" fontId="7" fillId="3" borderId="0" xfId="0" applyFont="true" applyBorder="true" applyAlignment="true" applyProtection="false">
      <alignment horizontal="general" vertical="center" textRotation="0" wrapText="false" indent="1" shrinkToFit="false"/>
      <protection locked="true" hidden="false"/>
    </xf>
    <xf numFmtId="164" fontId="8" fillId="0" borderId="0" xfId="0" applyFont="true" applyBorder="false" applyAlignment="true" applyProtection="false">
      <alignment horizontal="general" vertical="center" textRotation="0" wrapText="false" indent="0" shrinkToFit="false"/>
      <protection locked="true" hidden="false"/>
    </xf>
    <xf numFmtId="164" fontId="5" fillId="0" borderId="0" xfId="0" applyFont="true" applyBorder="true" applyAlignment="true" applyProtection="false">
      <alignment horizontal="general" vertical="center" textRotation="0" wrapText="false" indent="0" shrinkToFit="false"/>
      <protection locked="true" hidden="false"/>
    </xf>
    <xf numFmtId="164" fontId="9" fillId="0" borderId="0" xfId="0" applyFont="true" applyBorder="true" applyAlignment="true" applyProtection="false">
      <alignment horizontal="general" vertical="center" textRotation="0" wrapText="false" indent="0" shrinkToFit="false"/>
      <protection locked="true" hidden="false"/>
    </xf>
    <xf numFmtId="164" fontId="10" fillId="0" borderId="0" xfId="0" applyFont="true" applyBorder="true" applyAlignment="true" applyProtection="false">
      <alignment horizontal="general" vertical="center" textRotation="0" wrapText="true" indent="0" shrinkToFit="false"/>
      <protection locked="true" hidden="false"/>
    </xf>
    <xf numFmtId="164" fontId="11" fillId="0" borderId="0" xfId="0" applyFont="true" applyBorder="false" applyAlignment="true" applyProtection="false">
      <alignment horizontal="general" vertical="center" textRotation="0" wrapText="false" indent="0" shrinkToFit="false"/>
      <protection locked="true" hidden="false"/>
    </xf>
    <xf numFmtId="165" fontId="12" fillId="4" borderId="1" xfId="0" applyFont="true" applyBorder="true" applyAlignment="true" applyProtection="true">
      <alignment horizontal="right" vertical="center" textRotation="0" wrapText="false" indent="1" shrinkToFit="false"/>
      <protection locked="false" hidden="false"/>
    </xf>
    <xf numFmtId="166" fontId="12" fillId="4" borderId="1" xfId="0" applyFont="true" applyBorder="true" applyAlignment="true" applyProtection="true">
      <alignment horizontal="right" vertical="center" textRotation="0" wrapText="false" indent="1" shrinkToFit="false"/>
      <protection locked="false" hidden="false"/>
    </xf>
    <xf numFmtId="167" fontId="11" fillId="0" borderId="1" xfId="0" applyFont="true" applyBorder="true" applyAlignment="true" applyProtection="false">
      <alignment horizontal="right" vertical="center" textRotation="0" wrapText="false" indent="1" shrinkToFit="false"/>
      <protection locked="true" hidden="false"/>
    </xf>
    <xf numFmtId="167" fontId="8" fillId="0" borderId="1" xfId="0" applyFont="true" applyBorder="true" applyAlignment="true" applyProtection="false">
      <alignment horizontal="right" vertical="center" textRotation="0" wrapText="false" indent="1" shrinkToFit="false"/>
      <protection locked="true" hidden="false"/>
    </xf>
    <xf numFmtId="164" fontId="10" fillId="0" borderId="0" xfId="0" applyFont="true" applyBorder="true" applyAlignment="true" applyProtection="false">
      <alignment horizontal="general" vertical="center" textRotation="0" wrapText="false" indent="0" shrinkToFit="false"/>
      <protection locked="true" hidden="false"/>
    </xf>
    <xf numFmtId="168" fontId="12" fillId="4" borderId="1" xfId="0" applyFont="true" applyBorder="true" applyAlignment="true" applyProtection="true">
      <alignment horizontal="right" vertical="center" textRotation="0" wrapText="false" indent="1" shrinkToFit="false"/>
      <protection locked="false" hidden="false"/>
    </xf>
    <xf numFmtId="168" fontId="8" fillId="0" borderId="1" xfId="0" applyFont="true" applyBorder="true" applyAlignment="true" applyProtection="false">
      <alignment horizontal="right" vertical="center" textRotation="0" wrapText="false" indent="1" shrinkToFit="false"/>
      <protection locked="true" hidden="false"/>
    </xf>
    <xf numFmtId="169" fontId="12" fillId="4" borderId="1" xfId="0" applyFont="true" applyBorder="true" applyAlignment="true" applyProtection="true">
      <alignment horizontal="right" vertical="center" textRotation="0" wrapText="false" indent="1" shrinkToFit="false"/>
      <protection locked="false" hidden="false"/>
    </xf>
    <xf numFmtId="166" fontId="11" fillId="0" borderId="1" xfId="0" applyFont="true" applyBorder="true" applyAlignment="true" applyProtection="false">
      <alignment horizontal="right" vertical="center" textRotation="0" wrapText="false" indent="1" shrinkToFit="false"/>
      <protection locked="true" hidden="false"/>
    </xf>
    <xf numFmtId="164" fontId="13" fillId="0" borderId="0" xfId="0" applyFont="true" applyBorder="false" applyAlignment="true" applyProtection="false">
      <alignment horizontal="general" vertical="center" textRotation="0" wrapText="false" indent="0" shrinkToFit="false"/>
      <protection locked="true" hidden="false"/>
    </xf>
    <xf numFmtId="167" fontId="14" fillId="2" borderId="2" xfId="0" applyFont="true" applyBorder="true" applyAlignment="true" applyProtection="false">
      <alignment horizontal="right" vertical="center" textRotation="0" wrapText="false" indent="1" shrinkToFit="false"/>
      <protection locked="true" hidden="false"/>
    </xf>
    <xf numFmtId="168" fontId="11" fillId="0" borderId="1" xfId="0" applyFont="true" applyBorder="true" applyAlignment="true" applyProtection="false">
      <alignment horizontal="right" vertical="center" textRotation="0" wrapText="false" indent="1" shrinkToFit="false"/>
      <protection locked="true" hidden="false"/>
    </xf>
    <xf numFmtId="170" fontId="14" fillId="2" borderId="2" xfId="0" applyFont="true" applyBorder="true" applyAlignment="true" applyProtection="false">
      <alignment horizontal="right" vertical="center" textRotation="0" wrapText="false" indent="1" shrinkToFit="false"/>
      <protection locked="true" hidden="false"/>
    </xf>
    <xf numFmtId="164" fontId="6" fillId="2" borderId="1" xfId="0" applyFont="true" applyBorder="true" applyAlignment="true" applyProtection="false">
      <alignment horizontal="center" vertical="center" textRotation="0" wrapText="false" indent="0" shrinkToFit="false"/>
      <protection locked="true" hidden="false"/>
    </xf>
    <xf numFmtId="164" fontId="11" fillId="0" borderId="1" xfId="0" applyFont="true" applyBorder="true" applyAlignment="true" applyProtection="false">
      <alignment horizontal="center" vertical="bottom" textRotation="0" wrapText="false" indent="0" shrinkToFit="false"/>
      <protection locked="true" hidden="false"/>
    </xf>
    <xf numFmtId="171" fontId="12" fillId="4" borderId="1" xfId="0" applyFont="true" applyBorder="true" applyAlignment="true" applyProtection="true">
      <alignment horizontal="right" vertical="center" textRotation="0" wrapText="false" indent="1" shrinkToFit="false"/>
      <protection locked="false" hidden="false"/>
    </xf>
    <xf numFmtId="167" fontId="12" fillId="4" borderId="1" xfId="0" applyFont="true" applyBorder="true" applyAlignment="true" applyProtection="true">
      <alignment horizontal="right" vertical="center" textRotation="0" wrapText="false" indent="1" shrinkToFit="false"/>
      <protection locked="false" hidden="false"/>
    </xf>
    <xf numFmtId="166" fontId="16" fillId="0" borderId="1" xfId="0" applyFont="true" applyBorder="true" applyAlignment="true" applyProtection="false">
      <alignment horizontal="right" vertical="center" textRotation="0" wrapText="false" indent="1" shrinkToFit="false"/>
      <protection locked="true" hidden="false"/>
    </xf>
    <xf numFmtId="164" fontId="10" fillId="0" borderId="0" xfId="0" applyFont="true" applyBorder="false" applyAlignment="true" applyProtection="false">
      <alignment horizontal="right" vertical="center" textRotation="0" wrapText="false" indent="1" shrinkToFit="false"/>
      <protection locked="true" hidden="false"/>
    </xf>
    <xf numFmtId="166" fontId="12" fillId="4" borderId="1" xfId="0" applyFont="true" applyBorder="true" applyAlignment="true" applyProtection="true">
      <alignment horizontal="center" vertical="center" textRotation="0" wrapText="false" indent="0" shrinkToFit="false"/>
      <protection locked="false" hidden="false"/>
    </xf>
    <xf numFmtId="172" fontId="11" fillId="0" borderId="1" xfId="0" applyFont="true" applyBorder="true" applyAlignment="true" applyProtection="false">
      <alignment horizontal="right" vertical="center" textRotation="0" wrapText="false" indent="1" shrinkToFit="false"/>
      <protection locked="true" hidden="false"/>
    </xf>
    <xf numFmtId="164" fontId="12" fillId="4" borderId="1" xfId="0" applyFont="true" applyBorder="true" applyAlignment="true" applyProtection="true">
      <alignment horizontal="center" vertical="center" textRotation="0" wrapText="false" indent="0" shrinkToFit="false"/>
      <protection locked="false" hidden="false"/>
    </xf>
    <xf numFmtId="164" fontId="6" fillId="2" borderId="1" xfId="0" applyFont="true" applyBorder="true" applyAlignment="true" applyProtection="false">
      <alignment horizontal="center" vertical="bottom" textRotation="0" wrapText="false" indent="0" shrinkToFit="false"/>
      <protection locked="true" hidden="false"/>
    </xf>
    <xf numFmtId="165" fontId="14" fillId="2" borderId="2" xfId="0" applyFont="true" applyBorder="true" applyAlignment="true" applyProtection="false">
      <alignment horizontal="right" vertical="center" textRotation="0" wrapText="false" indent="1" shrinkToFit="false"/>
      <protection locked="true" hidden="false"/>
    </xf>
    <xf numFmtId="173" fontId="11" fillId="0" borderId="1" xfId="0" applyFont="true" applyBorder="true" applyAlignment="true" applyProtection="false">
      <alignment horizontal="right" vertical="center" textRotation="0" wrapText="false" indent="1" shrinkToFit="false"/>
      <protection locked="true" hidden="false"/>
    </xf>
    <xf numFmtId="164" fontId="17" fillId="0" borderId="0" xfId="0" applyFont="true" applyBorder="false" applyAlignment="true" applyProtection="false">
      <alignment horizontal="general" vertical="center" textRotation="0" wrapText="false" indent="0" shrinkToFit="false"/>
      <protection locked="true" hidden="false"/>
    </xf>
    <xf numFmtId="164" fontId="11" fillId="5" borderId="1" xfId="0" applyFont="true" applyBorder="true" applyAlignment="true" applyProtection="false">
      <alignment horizontal="center" vertical="bottom" textRotation="0" wrapText="false" indent="0" shrinkToFit="false"/>
      <protection locked="true" hidden="false"/>
    </xf>
    <xf numFmtId="166" fontId="12" fillId="4" borderId="1" xfId="0" applyFont="true" applyBorder="true" applyAlignment="true" applyProtection="true">
      <alignment horizontal="center" vertical="bottom" textRotation="0" wrapText="false" indent="0" shrinkToFit="false"/>
      <protection locked="false" hidden="false"/>
    </xf>
    <xf numFmtId="174" fontId="8" fillId="0" borderId="1" xfId="0" applyFont="true" applyBorder="true" applyAlignment="true" applyProtection="false">
      <alignment horizontal="center" vertical="bottom" textRotation="0" wrapText="false" indent="0" shrinkToFit="false"/>
      <protection locked="true" hidden="false"/>
    </xf>
    <xf numFmtId="164" fontId="18" fillId="0" borderId="1" xfId="0" applyFont="true" applyBorder="true" applyAlignment="true" applyProtection="false">
      <alignment horizontal="left" vertical="bottom" textRotation="0" wrapText="false" indent="1" shrinkToFit="false"/>
      <protection locked="true" hidden="false"/>
    </xf>
    <xf numFmtId="175" fontId="14" fillId="2" borderId="2" xfId="0" applyFont="true" applyBorder="true" applyAlignment="true" applyProtection="false">
      <alignment horizontal="right" vertical="center" textRotation="0" wrapText="false" indent="1" shrinkToFit="false"/>
      <protection locked="true" hidden="false"/>
    </xf>
    <xf numFmtId="172" fontId="12" fillId="4" borderId="1" xfId="0" applyFont="true" applyBorder="true" applyAlignment="true" applyProtection="true">
      <alignment horizontal="right" vertical="center" textRotation="0" wrapText="false" indent="1" shrinkToFit="false"/>
      <protection locked="false" hidden="false"/>
    </xf>
    <xf numFmtId="172" fontId="8" fillId="0" borderId="1" xfId="0" applyFont="true" applyBorder="true" applyAlignment="true" applyProtection="false">
      <alignment horizontal="right" vertical="center" textRotation="0" wrapText="false" indent="1" shrinkToFit="false"/>
      <protection locked="true" hidden="false"/>
    </xf>
    <xf numFmtId="169" fontId="14" fillId="2" borderId="2" xfId="0" applyFont="true" applyBorder="true" applyAlignment="true" applyProtection="false">
      <alignment horizontal="right" vertical="center" textRotation="0" wrapText="false" indent="1" shrinkToFit="false"/>
      <protection locked="true" hidden="false"/>
    </xf>
    <xf numFmtId="176" fontId="6" fillId="2" borderId="1" xfId="0" applyFont="true" applyBorder="true" applyAlignment="true" applyProtection="false">
      <alignment horizontal="center" vertical="bottom" textRotation="0" wrapText="false" indent="0" shrinkToFit="false"/>
      <protection locked="true" hidden="false"/>
    </xf>
    <xf numFmtId="176" fontId="19" fillId="6" borderId="1" xfId="0" applyFont="true" applyBorder="true" applyAlignment="true" applyProtection="false">
      <alignment horizontal="center" vertical="bottom" textRotation="0" wrapText="false" indent="0" shrinkToFit="false"/>
      <protection locked="true" hidden="false"/>
    </xf>
    <xf numFmtId="177" fontId="12" fillId="4" borderId="1" xfId="0" applyFont="true" applyBorder="true" applyAlignment="true" applyProtection="true">
      <alignment horizontal="center" vertical="bottom" textRotation="0" wrapText="false" indent="0" shrinkToFit="false"/>
      <protection locked="false" hidden="false"/>
    </xf>
    <xf numFmtId="170" fontId="12" fillId="4" borderId="1" xfId="0" applyFont="true" applyBorder="true" applyAlignment="true" applyProtection="true">
      <alignment horizontal="right" vertical="center" textRotation="0" wrapText="false" indent="1" shrinkToFit="false"/>
      <protection locked="false" hidden="false"/>
    </xf>
    <xf numFmtId="176" fontId="12" fillId="4" borderId="1" xfId="0" applyFont="true" applyBorder="true" applyAlignment="true" applyProtection="true">
      <alignment horizontal="right" vertical="center" textRotation="0" wrapText="false" indent="1" shrinkToFit="false"/>
      <protection locked="false" hidden="false"/>
    </xf>
    <xf numFmtId="164" fontId="10" fillId="0" borderId="0" xfId="0" applyFont="true" applyBorder="false" applyAlignment="true" applyProtection="false">
      <alignment horizontal="general" vertical="center" textRotation="0" wrapText="false" indent="0" shrinkToFit="false"/>
      <protection locked="true" hidden="false"/>
    </xf>
    <xf numFmtId="176" fontId="11" fillId="0" borderId="1" xfId="0" applyFont="true" applyBorder="true" applyAlignment="true" applyProtection="false">
      <alignment horizontal="right" vertical="center" textRotation="0" wrapText="false" indent="1" shrinkToFit="false"/>
      <protection locked="true" hidden="false"/>
    </xf>
    <xf numFmtId="178" fontId="14" fillId="2" borderId="2" xfId="0" applyFont="true" applyBorder="true" applyAlignment="true" applyProtection="false">
      <alignment horizontal="right" vertical="center" textRotation="0" wrapText="false" indent="1" shrinkToFit="false"/>
      <protection locked="true" hidden="false"/>
    </xf>
    <xf numFmtId="170" fontId="8" fillId="0" borderId="1" xfId="0" applyFont="true" applyBorder="true" applyAlignment="true" applyProtection="false">
      <alignment horizontal="right" vertical="center" textRotation="0" wrapText="false" indent="1" shrinkToFit="false"/>
      <protection locked="true" hidden="false"/>
    </xf>
    <xf numFmtId="164" fontId="11" fillId="0" borderId="0" xfId="0" applyFont="true" applyBorder="true" applyAlignment="true" applyProtection="false">
      <alignment horizontal="general" vertical="center" textRotation="0" wrapText="false" indent="0" shrinkToFit="false"/>
      <protection locked="true" hidden="false"/>
    </xf>
    <xf numFmtId="168" fontId="14" fillId="2" borderId="2" xfId="0" applyFont="true" applyBorder="true" applyAlignment="true" applyProtection="false">
      <alignment horizontal="right" vertical="center" textRotation="0" wrapText="false" indent="1" shrinkToFit="false"/>
      <protection locked="true" hidden="false"/>
    </xf>
    <xf numFmtId="170" fontId="20" fillId="0" borderId="1" xfId="0" applyFont="true" applyBorder="true" applyAlignment="true" applyProtection="false">
      <alignment horizontal="right" vertical="center" textRotation="0" wrapText="false" indent="1" shrinkToFit="false"/>
      <protection locked="true" hidden="false"/>
    </xf>
    <xf numFmtId="170" fontId="11" fillId="0" borderId="1" xfId="0" applyFont="true" applyBorder="true" applyAlignment="true" applyProtection="false">
      <alignment horizontal="right" vertical="center" textRotation="0" wrapText="false" indent="1" shrinkToFit="false"/>
      <protection locked="true" hidden="false"/>
    </xf>
    <xf numFmtId="179" fontId="11" fillId="0" borderId="1" xfId="0" applyFont="true" applyBorder="true" applyAlignment="true" applyProtection="false">
      <alignment horizontal="right" vertical="center" textRotation="0" wrapText="false" indent="1" shrinkToFit="false"/>
      <protection locked="true" hidden="false"/>
    </xf>
    <xf numFmtId="164" fontId="21" fillId="4" borderId="1" xfId="0" applyFont="true" applyBorder="true" applyAlignment="true" applyProtection="true">
      <alignment horizontal="general" vertical="top" textRotation="0" wrapText="true" indent="0" shrinkToFit="false"/>
      <protection locked="false" hidden="false"/>
    </xf>
    <xf numFmtId="172" fontId="6" fillId="2" borderId="1" xfId="0" applyFont="true" applyBorder="true" applyAlignment="true" applyProtection="false">
      <alignment horizontal="center" vertical="bottom" textRotation="0" wrapText="false" indent="0" shrinkToFit="false"/>
      <protection locked="true" hidden="false"/>
    </xf>
    <xf numFmtId="164" fontId="19" fillId="6" borderId="1" xfId="0" applyFont="true" applyBorder="true" applyAlignment="true" applyProtection="false">
      <alignment horizontal="center" vertical="bottom" textRotation="0" wrapText="false" indent="0" shrinkToFit="false"/>
      <protection locked="true" hidden="false"/>
    </xf>
    <xf numFmtId="177" fontId="17" fillId="0" borderId="1" xfId="0" applyFont="true" applyBorder="true" applyAlignment="true" applyProtection="false">
      <alignment horizontal="center" vertical="bottom" textRotation="0" wrapText="false" indent="0" shrinkToFit="false"/>
      <protection locked="true" hidden="false"/>
    </xf>
    <xf numFmtId="180" fontId="17" fillId="0" borderId="1" xfId="0" applyFont="true" applyBorder="true" applyAlignment="true" applyProtection="false">
      <alignment horizontal="center"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6100"/>
      <rgbColor rgb="FF000080"/>
      <rgbColor rgb="FF808000"/>
      <rgbColor rgb="FF800080"/>
      <rgbColor rgb="FF008080"/>
      <rgbColor rgb="FFC9CCD1"/>
      <rgbColor rgb="FFB8935A"/>
      <rgbColor rgb="FF9999FF"/>
      <rgbColor rgb="FF993366"/>
      <rgbColor rgb="FFFFF7DC"/>
      <rgbColor rgb="FFEDEEF0"/>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F3EEE2"/>
      <rgbColor rgb="FFFFFF99"/>
      <rgbColor rgb="FF99CCFF"/>
      <rgbColor rgb="FFFF99CC"/>
      <rgbColor rgb="FFCC99FF"/>
      <rgbColor rgb="FFFFCC99"/>
      <rgbColor rgb="FF3366FF"/>
      <rgbColor rgb="FF33CCCC"/>
      <rgbColor rgb="FF99CC00"/>
      <rgbColor rgb="FFFFCC00"/>
      <rgbColor rgb="FFFF9900"/>
      <rgbColor rgb="FFFF6600"/>
      <rgbColor rgb="FF5A6472"/>
      <rgbColor rgb="FF8A929C"/>
      <rgbColor rgb="FF003366"/>
      <rgbColor rgb="FF339966"/>
      <rgbColor rgb="FF003300"/>
      <rgbColor rgb="FF333300"/>
      <rgbColor rgb="FF993300"/>
      <rgbColor rgb="FF993366"/>
      <rgbColor rgb="FF333399"/>
      <rgbColor rgb="FF1B2B45"/>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comments" Target="../comments3.xml"/><Relationship Id="rId2" Type="http://schemas.openxmlformats.org/officeDocument/2006/relationships/vmlDrawing" Target="../drawings/vmlDrawing1.vml"/>
</Relationships>
</file>

<file path=xl/worksheets/_rels/sheet5.xml.rels><?xml version="1.0" encoding="UTF-8"?>
<Relationships xmlns="http://schemas.openxmlformats.org/package/2006/relationships"><Relationship Id="rId1" Type="http://schemas.openxmlformats.org/officeDocument/2006/relationships/comments" Target="../comments5.xml"/><Relationship Id="rId2" Type="http://schemas.openxmlformats.org/officeDocument/2006/relationships/vmlDrawing" Target="../drawings/vmlDrawing2.vml"/>
</Relationships>
</file>

<file path=xl/worksheets/_rels/sheet6.xml.rels><?xml version="1.0" encoding="UTF-8"?>
<Relationships xmlns="http://schemas.openxmlformats.org/package/2006/relationships"><Relationship Id="rId1" Type="http://schemas.openxmlformats.org/officeDocument/2006/relationships/comments" Target="../comments6.xml"/><Relationship Id="rId2" Type="http://schemas.openxmlformats.org/officeDocument/2006/relationships/vmlDrawing" Target="../drawings/vmlDrawing3.vml"/>
</Relationships>
</file>

<file path=xl/worksheets/_rels/sheet7.xml.rels><?xml version="1.0" encoding="UTF-8"?>
<Relationships xmlns="http://schemas.openxmlformats.org/package/2006/relationships"><Relationship Id="rId1" Type="http://schemas.openxmlformats.org/officeDocument/2006/relationships/comments" Target="../comments7.xml"/><Relationship Id="rId2" Type="http://schemas.openxmlformats.org/officeDocument/2006/relationships/vmlDrawing" Target="../drawings/vmlDrawing4.vml"/>
</Relationships>
</file>

<file path=xl/worksheets/_rels/sheet8.xml.rels><?xml version="1.0" encoding="UTF-8"?>
<Relationships xmlns="http://schemas.openxmlformats.org/package/2006/relationships"><Relationship Id="rId1" Type="http://schemas.openxmlformats.org/officeDocument/2006/relationships/comments" Target="../comments8.xml"/><Relationship Id="rId2" Type="http://schemas.openxmlformats.org/officeDocument/2006/relationships/vmlDrawing" Target="../drawings/vmlDrawing5.vml"/>
</Relationships>
</file>

<file path=xl/worksheets/_rels/sheet9.xml.rels><?xml version="1.0" encoding="UTF-8"?>
<Relationships xmlns="http://schemas.openxmlformats.org/package/2006/relationships"><Relationship Id="rId1" Type="http://schemas.openxmlformats.org/officeDocument/2006/relationships/comments" Target="../comments9.xml"/><Relationship Id="rId2" Type="http://schemas.openxmlformats.org/officeDocument/2006/relationships/vmlDrawing" Target="../drawings/vmlDrawing6.vml"/>
</Relationships>
</file>

<file path=xl/worksheets/_rels/sheet10.xml.rels><?xml version="1.0" encoding="UTF-8"?>
<Relationships xmlns="http://schemas.openxmlformats.org/package/2006/relationships"><Relationship Id="rId1" Type="http://schemas.openxmlformats.org/officeDocument/2006/relationships/comments" Target="../comments10.xml"/><Relationship Id="rId2" Type="http://schemas.openxmlformats.org/officeDocument/2006/relationships/vmlDrawing" Target="../drawings/vmlDrawing7.vml"/>
</Relationships>
</file>

<file path=xl/worksheets/_rels/sheet12.xml.rels><?xml version="1.0" encoding="UTF-8"?>
<Relationships xmlns="http://schemas.openxmlformats.org/package/2006/relationships"><Relationship Id="rId1" Type="http://schemas.openxmlformats.org/officeDocument/2006/relationships/comments" Target="../comments12.xml"/><Relationship Id="rId2" Type="http://schemas.openxmlformats.org/officeDocument/2006/relationships/vmlDrawing" Target="../drawings/vmlDrawing8.vml"/>
</Relationships>
</file>

<file path=xl/worksheets/_rels/sheet13.xml.rels><?xml version="1.0" encoding="UTF-8"?>
<Relationships xmlns="http://schemas.openxmlformats.org/package/2006/relationships"><Relationship Id="rId1" Type="http://schemas.openxmlformats.org/officeDocument/2006/relationships/comments" Target="../comments13.xml"/><Relationship Id="rId2" Type="http://schemas.openxmlformats.org/officeDocument/2006/relationships/vmlDrawing" Target="../drawings/vmlDrawing9.vml"/>
</Relationships>
</file>

<file path=xl/worksheets/_rels/sheet14.xml.rels><?xml version="1.0" encoding="UTF-8"?>
<Relationships xmlns="http://schemas.openxmlformats.org/package/2006/relationships"><Relationship Id="rId1" Type="http://schemas.openxmlformats.org/officeDocument/2006/relationships/comments" Target="../comments14.xml"/><Relationship Id="rId2" Type="http://schemas.openxmlformats.org/officeDocument/2006/relationships/vmlDrawing" Target="../drawings/vmlDrawing10.vml"/>
</Relationships>
</file>

<file path=xl/worksheets/_rels/sheet15.xml.rels><?xml version="1.0" encoding="UTF-8"?>
<Relationships xmlns="http://schemas.openxmlformats.org/package/2006/relationships"><Relationship Id="rId1" Type="http://schemas.openxmlformats.org/officeDocument/2006/relationships/comments" Target="../comments15.xml"/><Relationship Id="rId2" Type="http://schemas.openxmlformats.org/officeDocument/2006/relationships/vmlDrawing" Target="../drawings/vmlDrawing11.vml"/>
</Relationships>
</file>

<file path=xl/worksheets/_rels/sheet19.xml.rels><?xml version="1.0" encoding="UTF-8"?>
<Relationships xmlns="http://schemas.openxmlformats.org/package/2006/relationships"><Relationship Id="rId1" Type="http://schemas.openxmlformats.org/officeDocument/2006/relationships/comments" Target="../comments19.xml"/><Relationship Id="rId2" Type="http://schemas.openxmlformats.org/officeDocument/2006/relationships/vmlDrawing" Target="../drawings/vmlDrawing12.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H38"/>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5"/>
    <col collapsed="false" customWidth="true" hidden="false" outlineLevel="0" max="2" min="2" style="0" width="42"/>
    <col collapsed="false" customWidth="true" hidden="false" outlineLevel="0" max="8" min="3" style="0" width="16"/>
  </cols>
  <sheetData>
    <row r="2" customFormat="false" ht="30" hidden="false" customHeight="true" outlineLevel="0" collapsed="false">
      <c r="B2" s="1" t="s">
        <v>0</v>
      </c>
      <c r="C2" s="1"/>
      <c r="D2" s="1"/>
      <c r="E2" s="1"/>
      <c r="F2" s="1"/>
      <c r="G2" s="1"/>
      <c r="H2" s="1"/>
    </row>
    <row r="3" customFormat="false" ht="15.75" hidden="false" customHeight="true" outlineLevel="0" collapsed="false">
      <c r="B3" s="2" t="s">
        <v>1</v>
      </c>
      <c r="C3" s="2"/>
      <c r="D3" s="2"/>
      <c r="E3" s="2"/>
      <c r="F3" s="2"/>
      <c r="G3" s="2"/>
      <c r="H3" s="2"/>
    </row>
    <row r="4" customFormat="false" ht="18" hidden="false" customHeight="true" outlineLevel="0" collapsed="false">
      <c r="B4" s="3" t="s">
        <v>2</v>
      </c>
      <c r="C4" s="3"/>
      <c r="D4" s="3"/>
      <c r="E4" s="3"/>
      <c r="F4" s="3"/>
      <c r="G4" s="3"/>
      <c r="H4" s="3"/>
    </row>
    <row r="5" customFormat="false" ht="18.75" hidden="false" customHeight="true" outlineLevel="0" collapsed="false">
      <c r="B5" s="4" t="s">
        <v>3</v>
      </c>
      <c r="C5" s="4"/>
      <c r="D5" s="4"/>
      <c r="E5" s="4"/>
      <c r="F5" s="4"/>
      <c r="G5" s="4"/>
      <c r="H5" s="4"/>
    </row>
    <row r="6" customFormat="false" ht="15" hidden="false" customHeight="true" outlineLevel="0" collapsed="false">
      <c r="B6" s="5" t="s">
        <v>4</v>
      </c>
      <c r="C6" s="6" t="s">
        <v>5</v>
      </c>
      <c r="D6" s="6"/>
      <c r="E6" s="6"/>
      <c r="F6" s="6"/>
      <c r="G6" s="6"/>
      <c r="H6" s="6"/>
    </row>
    <row r="7" customFormat="false" ht="15" hidden="false" customHeight="true" outlineLevel="0" collapsed="false">
      <c r="B7" s="5" t="s">
        <v>6</v>
      </c>
      <c r="C7" s="6" t="s">
        <v>7</v>
      </c>
      <c r="D7" s="6"/>
      <c r="E7" s="6"/>
      <c r="F7" s="6"/>
      <c r="G7" s="6"/>
      <c r="H7" s="6"/>
    </row>
    <row r="8" customFormat="false" ht="15" hidden="false" customHeight="true" outlineLevel="0" collapsed="false">
      <c r="B8" s="5" t="s">
        <v>8</v>
      </c>
      <c r="C8" s="6" t="s">
        <v>9</v>
      </c>
      <c r="D8" s="6"/>
      <c r="E8" s="6"/>
      <c r="F8" s="6"/>
      <c r="G8" s="6"/>
      <c r="H8" s="6"/>
    </row>
    <row r="9" customFormat="false" ht="15" hidden="false" customHeight="true" outlineLevel="0" collapsed="false">
      <c r="B9" s="5" t="s">
        <v>10</v>
      </c>
      <c r="C9" s="6" t="s">
        <v>11</v>
      </c>
      <c r="D9" s="6"/>
      <c r="E9" s="6"/>
      <c r="F9" s="6"/>
      <c r="G9" s="6"/>
      <c r="H9" s="6"/>
    </row>
    <row r="10" customFormat="false" ht="15" hidden="false" customHeight="true" outlineLevel="0" collapsed="false">
      <c r="B10" s="5" t="s">
        <v>12</v>
      </c>
      <c r="C10" s="6" t="s">
        <v>13</v>
      </c>
      <c r="D10" s="6"/>
      <c r="E10" s="6"/>
      <c r="F10" s="6"/>
      <c r="G10" s="6"/>
      <c r="H10" s="6"/>
    </row>
    <row r="11" customFormat="false" ht="15" hidden="false" customHeight="true" outlineLevel="0" collapsed="false">
      <c r="B11" s="5" t="s">
        <v>14</v>
      </c>
      <c r="C11" s="6" t="s">
        <v>15</v>
      </c>
      <c r="D11" s="6"/>
      <c r="E11" s="6"/>
      <c r="F11" s="6"/>
      <c r="G11" s="6"/>
      <c r="H11" s="6"/>
    </row>
    <row r="12" customFormat="false" ht="15" hidden="false" customHeight="true" outlineLevel="0" collapsed="false">
      <c r="B12" s="5" t="s">
        <v>16</v>
      </c>
      <c r="C12" s="6" t="s">
        <v>17</v>
      </c>
      <c r="D12" s="6"/>
      <c r="E12" s="6"/>
      <c r="F12" s="6"/>
      <c r="G12" s="6"/>
      <c r="H12" s="6"/>
    </row>
    <row r="13" customFormat="false" ht="15" hidden="false" customHeight="true" outlineLevel="0" collapsed="false">
      <c r="B13" s="5" t="s">
        <v>18</v>
      </c>
      <c r="C13" s="6" t="s">
        <v>19</v>
      </c>
      <c r="D13" s="6"/>
      <c r="E13" s="6"/>
      <c r="F13" s="6"/>
      <c r="G13" s="6"/>
      <c r="H13" s="6"/>
    </row>
    <row r="14" customFormat="false" ht="15" hidden="false" customHeight="true" outlineLevel="0" collapsed="false">
      <c r="B14" s="5" t="s">
        <v>20</v>
      </c>
      <c r="C14" s="6" t="s">
        <v>21</v>
      </c>
      <c r="D14" s="6"/>
      <c r="E14" s="6"/>
      <c r="F14" s="6"/>
      <c r="G14" s="6"/>
      <c r="H14" s="6"/>
    </row>
    <row r="15" customFormat="false" ht="15" hidden="false" customHeight="true" outlineLevel="0" collapsed="false">
      <c r="B15" s="5" t="s">
        <v>22</v>
      </c>
      <c r="C15" s="6" t="s">
        <v>23</v>
      </c>
      <c r="D15" s="6"/>
      <c r="E15" s="6"/>
      <c r="F15" s="6"/>
      <c r="G15" s="6"/>
      <c r="H15" s="6"/>
    </row>
    <row r="16" customFormat="false" ht="15" hidden="false" customHeight="true" outlineLevel="0" collapsed="false">
      <c r="B16" s="5" t="s">
        <v>24</v>
      </c>
      <c r="C16" s="6" t="s">
        <v>25</v>
      </c>
      <c r="D16" s="6"/>
      <c r="E16" s="6"/>
      <c r="F16" s="6"/>
      <c r="G16" s="6"/>
      <c r="H16" s="6"/>
    </row>
    <row r="17" customFormat="false" ht="15" hidden="false" customHeight="true" outlineLevel="0" collapsed="false">
      <c r="B17" s="5" t="s">
        <v>26</v>
      </c>
      <c r="C17" s="6" t="s">
        <v>27</v>
      </c>
      <c r="D17" s="6"/>
      <c r="E17" s="6"/>
      <c r="F17" s="6"/>
      <c r="G17" s="6"/>
      <c r="H17" s="6"/>
    </row>
    <row r="18" customFormat="false" ht="15" hidden="false" customHeight="true" outlineLevel="0" collapsed="false">
      <c r="B18" s="5" t="s">
        <v>28</v>
      </c>
      <c r="C18" s="6" t="s">
        <v>29</v>
      </c>
      <c r="D18" s="6"/>
      <c r="E18" s="6"/>
      <c r="F18" s="6"/>
      <c r="G18" s="6"/>
      <c r="H18" s="6"/>
    </row>
    <row r="19" customFormat="false" ht="15" hidden="false" customHeight="true" outlineLevel="0" collapsed="false">
      <c r="B19" s="5" t="s">
        <v>30</v>
      </c>
      <c r="C19" s="6" t="s">
        <v>31</v>
      </c>
      <c r="D19" s="6"/>
      <c r="E19" s="6"/>
      <c r="F19" s="6"/>
      <c r="G19" s="6"/>
      <c r="H19" s="6"/>
    </row>
    <row r="20" customFormat="false" ht="15" hidden="false" customHeight="true" outlineLevel="0" collapsed="false">
      <c r="B20" s="5" t="s">
        <v>32</v>
      </c>
      <c r="C20" s="6" t="s">
        <v>33</v>
      </c>
      <c r="D20" s="6"/>
      <c r="E20" s="6"/>
      <c r="F20" s="6"/>
      <c r="G20" s="6"/>
      <c r="H20" s="6"/>
    </row>
    <row r="21" customFormat="false" ht="15" hidden="false" customHeight="true" outlineLevel="0" collapsed="false">
      <c r="B21" s="5" t="s">
        <v>34</v>
      </c>
      <c r="C21" s="6" t="s">
        <v>35</v>
      </c>
      <c r="D21" s="6"/>
      <c r="E21" s="6"/>
      <c r="F21" s="6"/>
      <c r="G21" s="6"/>
      <c r="H21" s="6"/>
    </row>
    <row r="22" customFormat="false" ht="15" hidden="false" customHeight="true" outlineLevel="0" collapsed="false">
      <c r="B22" s="5" t="s">
        <v>36</v>
      </c>
      <c r="C22" s="6" t="s">
        <v>37</v>
      </c>
      <c r="D22" s="6"/>
      <c r="E22" s="6"/>
      <c r="F22" s="6"/>
      <c r="G22" s="6"/>
      <c r="H22" s="6"/>
    </row>
    <row r="23" customFormat="false" ht="15" hidden="false" customHeight="true" outlineLevel="0" collapsed="false">
      <c r="B23" s="5" t="s">
        <v>38</v>
      </c>
      <c r="C23" s="6" t="s">
        <v>39</v>
      </c>
      <c r="D23" s="6"/>
      <c r="E23" s="6"/>
      <c r="F23" s="6"/>
      <c r="G23" s="6"/>
      <c r="H23" s="6"/>
    </row>
    <row r="24" customFormat="false" ht="15" hidden="false" customHeight="true" outlineLevel="0" collapsed="false">
      <c r="B24" s="5" t="s">
        <v>40</v>
      </c>
      <c r="C24" s="6" t="s">
        <v>41</v>
      </c>
      <c r="D24" s="6"/>
      <c r="E24" s="6"/>
      <c r="F24" s="6"/>
      <c r="G24" s="6"/>
      <c r="H24" s="6"/>
    </row>
    <row r="26" customFormat="false" ht="18.75" hidden="false" customHeight="true" outlineLevel="0" collapsed="false">
      <c r="B26" s="4" t="s">
        <v>42</v>
      </c>
      <c r="C26" s="4"/>
      <c r="D26" s="4"/>
      <c r="E26" s="4"/>
      <c r="F26" s="4"/>
      <c r="G26" s="4"/>
      <c r="H26" s="4"/>
    </row>
    <row r="27" customFormat="false" ht="15" hidden="false" customHeight="false" outlineLevel="0" collapsed="false">
      <c r="B27" s="7" t="s">
        <v>43</v>
      </c>
      <c r="C27" s="7"/>
      <c r="D27" s="7"/>
      <c r="E27" s="7"/>
      <c r="F27" s="7"/>
      <c r="G27" s="7"/>
      <c r="H27" s="7"/>
    </row>
    <row r="28" customFormat="false" ht="15" hidden="false" customHeight="false" outlineLevel="0" collapsed="false">
      <c r="B28" s="7" t="s">
        <v>44</v>
      </c>
      <c r="C28" s="7"/>
      <c r="D28" s="7"/>
      <c r="E28" s="7"/>
      <c r="F28" s="7"/>
      <c r="G28" s="7"/>
      <c r="H28" s="7"/>
    </row>
    <row r="29" customFormat="false" ht="15" hidden="false" customHeight="false" outlineLevel="0" collapsed="false">
      <c r="B29" s="7" t="s">
        <v>45</v>
      </c>
      <c r="C29" s="7"/>
      <c r="D29" s="7"/>
      <c r="E29" s="7"/>
      <c r="F29" s="7"/>
      <c r="G29" s="7"/>
      <c r="H29" s="7"/>
    </row>
    <row r="30" customFormat="false" ht="15" hidden="false" customHeight="false" outlineLevel="0" collapsed="false">
      <c r="B30" s="7" t="s">
        <v>46</v>
      </c>
      <c r="C30" s="7"/>
      <c r="D30" s="7"/>
      <c r="E30" s="7"/>
      <c r="F30" s="7"/>
      <c r="G30" s="7"/>
      <c r="H30" s="7"/>
    </row>
    <row r="31" customFormat="false" ht="15" hidden="false" customHeight="false" outlineLevel="0" collapsed="false">
      <c r="B31" s="7" t="s">
        <v>47</v>
      </c>
      <c r="C31" s="7"/>
      <c r="D31" s="7"/>
      <c r="E31" s="7"/>
      <c r="F31" s="7"/>
      <c r="G31" s="7"/>
      <c r="H31" s="7"/>
    </row>
    <row r="33" customFormat="false" ht="18.75" hidden="false" customHeight="true" outlineLevel="0" collapsed="false">
      <c r="B33" s="4" t="s">
        <v>48</v>
      </c>
      <c r="C33" s="4"/>
      <c r="D33" s="4"/>
      <c r="E33" s="4"/>
      <c r="F33" s="4"/>
      <c r="G33" s="4"/>
      <c r="H33" s="4"/>
    </row>
    <row r="34" customFormat="false" ht="15" hidden="false" customHeight="false" outlineLevel="0" collapsed="false">
      <c r="B34" s="7" t="s">
        <v>49</v>
      </c>
      <c r="C34" s="7"/>
      <c r="D34" s="7"/>
      <c r="E34" s="7"/>
      <c r="F34" s="7"/>
      <c r="G34" s="7"/>
      <c r="H34" s="7"/>
    </row>
    <row r="35" customFormat="false" ht="15" hidden="false" customHeight="false" outlineLevel="0" collapsed="false">
      <c r="B35" s="7" t="s">
        <v>50</v>
      </c>
      <c r="C35" s="7"/>
      <c r="D35" s="7"/>
      <c r="E35" s="7"/>
      <c r="F35" s="7"/>
      <c r="G35" s="7"/>
      <c r="H35" s="7"/>
    </row>
    <row r="36" customFormat="false" ht="15" hidden="false" customHeight="false" outlineLevel="0" collapsed="false">
      <c r="B36" s="7" t="s">
        <v>51</v>
      </c>
      <c r="C36" s="7"/>
      <c r="D36" s="7"/>
      <c r="E36" s="7"/>
      <c r="F36" s="7"/>
      <c r="G36" s="7"/>
      <c r="H36" s="7"/>
    </row>
    <row r="38" customFormat="false" ht="19.4" hidden="false" customHeight="true" outlineLevel="0" collapsed="false">
      <c r="B38" s="8" t="s">
        <v>52</v>
      </c>
      <c r="C38" s="8"/>
      <c r="D38" s="8"/>
      <c r="E38" s="8"/>
      <c r="F38" s="8"/>
      <c r="G38" s="8"/>
      <c r="H38" s="8"/>
    </row>
  </sheetData>
  <sheetProtection sheet="true" formatColumns="false" formatRows="false"/>
  <mergeCells count="34">
    <mergeCell ref="B2:H2"/>
    <mergeCell ref="B3:H3"/>
    <mergeCell ref="B4:H4"/>
    <mergeCell ref="B5:H5"/>
    <mergeCell ref="C6:H6"/>
    <mergeCell ref="C7:H7"/>
    <mergeCell ref="C8:H8"/>
    <mergeCell ref="C9:H9"/>
    <mergeCell ref="C10:H10"/>
    <mergeCell ref="C11:H11"/>
    <mergeCell ref="C12:H12"/>
    <mergeCell ref="C13:H13"/>
    <mergeCell ref="C14:H14"/>
    <mergeCell ref="C15:H15"/>
    <mergeCell ref="C16:H16"/>
    <mergeCell ref="C17:H17"/>
    <mergeCell ref="C18:H18"/>
    <mergeCell ref="C19:H19"/>
    <mergeCell ref="C20:H20"/>
    <mergeCell ref="C21:H21"/>
    <mergeCell ref="C22:H22"/>
    <mergeCell ref="C23:H23"/>
    <mergeCell ref="C24:H24"/>
    <mergeCell ref="B26:H26"/>
    <mergeCell ref="B27:H27"/>
    <mergeCell ref="B28:H28"/>
    <mergeCell ref="B29:H29"/>
    <mergeCell ref="B30:H30"/>
    <mergeCell ref="B31:H31"/>
    <mergeCell ref="B33:H33"/>
    <mergeCell ref="B34:H34"/>
    <mergeCell ref="B35:H35"/>
    <mergeCell ref="B36:H36"/>
    <mergeCell ref="B38:H3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H3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5"/>
    <col collapsed="false" customWidth="true" hidden="false" outlineLevel="0" max="2" min="2" style="0" width="44"/>
    <col collapsed="false" customWidth="true" hidden="false" outlineLevel="0" max="5" min="3" style="0" width="18"/>
    <col collapsed="false" customWidth="true" hidden="false" outlineLevel="0" max="8" min="6" style="0" width="14"/>
  </cols>
  <sheetData>
    <row r="2" customFormat="false" ht="30" hidden="false" customHeight="true" outlineLevel="0" collapsed="false">
      <c r="B2" s="1" t="s">
        <v>53</v>
      </c>
      <c r="C2" s="1"/>
      <c r="D2" s="1"/>
      <c r="E2" s="1"/>
      <c r="F2" s="1"/>
      <c r="G2" s="1"/>
      <c r="H2" s="1"/>
    </row>
    <row r="3" customFormat="false" ht="15.75" hidden="false" customHeight="true" outlineLevel="0" collapsed="false">
      <c r="B3" s="2" t="s">
        <v>54</v>
      </c>
      <c r="C3" s="2"/>
      <c r="D3" s="2"/>
      <c r="E3" s="2"/>
      <c r="F3" s="2"/>
      <c r="G3" s="2"/>
      <c r="H3" s="2"/>
    </row>
    <row r="5" customFormat="false" ht="18.75" hidden="false" customHeight="true" outlineLevel="0" collapsed="false">
      <c r="B5" s="4" t="s">
        <v>55</v>
      </c>
      <c r="C5" s="4"/>
      <c r="D5" s="4"/>
      <c r="E5" s="4"/>
      <c r="F5" s="4"/>
      <c r="G5" s="4"/>
      <c r="H5" s="4"/>
    </row>
    <row r="6" customFormat="false" ht="15" hidden="false" customHeight="false" outlineLevel="0" collapsed="false">
      <c r="B6" s="9" t="s">
        <v>56</v>
      </c>
      <c r="C6" s="10" t="n">
        <v>0.05</v>
      </c>
    </row>
    <row r="7" customFormat="false" ht="15" hidden="false" customHeight="false" outlineLevel="0" collapsed="false">
      <c r="B7" s="9" t="s">
        <v>57</v>
      </c>
      <c r="C7" s="11" t="n">
        <v>50</v>
      </c>
    </row>
    <row r="8" customFormat="false" ht="15" hidden="false" customHeight="false" outlineLevel="0" collapsed="false">
      <c r="B8" s="9" t="s">
        <v>58</v>
      </c>
      <c r="C8" s="12" t="n">
        <f aca="false">1+C6</f>
        <v>1.05</v>
      </c>
    </row>
    <row r="10" customFormat="false" ht="18.75" hidden="false" customHeight="true" outlineLevel="0" collapsed="false">
      <c r="B10" s="4" t="s">
        <v>59</v>
      </c>
      <c r="C10" s="4"/>
      <c r="D10" s="4"/>
      <c r="E10" s="4"/>
      <c r="F10" s="4"/>
      <c r="G10" s="4"/>
      <c r="H10" s="4"/>
    </row>
    <row r="11" customFormat="false" ht="15" hidden="false" customHeight="false" outlineLevel="0" collapsed="false">
      <c r="B11" s="5" t="s">
        <v>60</v>
      </c>
      <c r="C11" s="13" t="n">
        <f aca="false">C8^C7</f>
        <v>11.4673997857537</v>
      </c>
      <c r="D11" s="14" t="s">
        <v>61</v>
      </c>
      <c r="E11" s="14"/>
      <c r="F11" s="14"/>
      <c r="G11" s="14"/>
      <c r="H11" s="14"/>
    </row>
    <row r="12" customFormat="false" ht="15" hidden="false" customHeight="false" outlineLevel="0" collapsed="false">
      <c r="B12" s="5" t="s">
        <v>62</v>
      </c>
      <c r="C12" s="13" t="n">
        <f aca="false">1/C8^C7</f>
        <v>0.0872037269723805</v>
      </c>
      <c r="D12" s="14" t="s">
        <v>63</v>
      </c>
      <c r="E12" s="14"/>
      <c r="F12" s="14"/>
      <c r="G12" s="14"/>
      <c r="H12" s="14"/>
    </row>
    <row r="13" customFormat="false" ht="15" hidden="false" customHeight="false" outlineLevel="0" collapsed="false">
      <c r="B13" s="5" t="s">
        <v>64</v>
      </c>
      <c r="C13" s="13" t="n">
        <f aca="false">IF(C6=0,C7,(C8^C7-1)/(C8^C7*(C8-1)))</f>
        <v>18.2559254605524</v>
      </c>
      <c r="D13" s="14" t="s">
        <v>65</v>
      </c>
      <c r="E13" s="14"/>
      <c r="F13" s="14"/>
      <c r="G13" s="14"/>
      <c r="H13" s="14"/>
    </row>
    <row r="14" customFormat="false" ht="15" hidden="false" customHeight="false" outlineLevel="0" collapsed="false">
      <c r="B14" s="5" t="s">
        <v>66</v>
      </c>
      <c r="C14" s="13" t="n">
        <f aca="false">IF(C6=0,C7,(C8^C7-1)/(C8-1))</f>
        <v>209.347995715074</v>
      </c>
      <c r="D14" s="14" t="s">
        <v>67</v>
      </c>
      <c r="E14" s="14"/>
      <c r="F14" s="14"/>
      <c r="G14" s="14"/>
      <c r="H14" s="14"/>
    </row>
    <row r="15" customFormat="false" ht="15" hidden="false" customHeight="false" outlineLevel="0" collapsed="false">
      <c r="B15" s="5" t="s">
        <v>68</v>
      </c>
      <c r="C15" s="13" t="n">
        <f aca="false">IF(C6=0,1/C7,(C8^C7*(C8-1))/(C8^C7-1))</f>
        <v>0.0547767354857365</v>
      </c>
      <c r="D15" s="14" t="s">
        <v>69</v>
      </c>
      <c r="E15" s="14"/>
      <c r="F15" s="14"/>
      <c r="G15" s="14"/>
      <c r="H15" s="14"/>
    </row>
    <row r="16" customFormat="false" ht="15" hidden="false" customHeight="false" outlineLevel="0" collapsed="false">
      <c r="B16" s="5" t="s">
        <v>70</v>
      </c>
      <c r="C16" s="13" t="n">
        <f aca="false">IF(C6=0,1/C7,(C8-1)/(C8^C7-1))</f>
        <v>0.00477673548573647</v>
      </c>
      <c r="D16" s="14" t="s">
        <v>71</v>
      </c>
      <c r="E16" s="14"/>
      <c r="F16" s="14"/>
      <c r="G16" s="14"/>
      <c r="H16" s="14"/>
    </row>
    <row r="18" customFormat="false" ht="18.75" hidden="false" customHeight="true" outlineLevel="0" collapsed="false">
      <c r="B18" s="4" t="s">
        <v>72</v>
      </c>
      <c r="C18" s="4"/>
      <c r="D18" s="4"/>
      <c r="E18" s="4"/>
      <c r="F18" s="4"/>
      <c r="G18" s="4"/>
      <c r="H18" s="4"/>
    </row>
    <row r="19" customFormat="false" ht="15" hidden="false" customHeight="false" outlineLevel="0" collapsed="false">
      <c r="B19" s="9" t="s">
        <v>73</v>
      </c>
      <c r="C19" s="15" t="n">
        <v>25000</v>
      </c>
    </row>
    <row r="20" customFormat="false" ht="15" hidden="false" customHeight="false" outlineLevel="0" collapsed="false">
      <c r="B20" s="9" t="s">
        <v>74</v>
      </c>
      <c r="C20" s="16" t="n">
        <f aca="false">C19*C13</f>
        <v>456398.136513809</v>
      </c>
    </row>
    <row r="21" customFormat="false" ht="15" hidden="false" customHeight="false" outlineLevel="0" collapsed="false">
      <c r="B21" s="9" t="s">
        <v>75</v>
      </c>
      <c r="C21" s="15" t="n">
        <v>100000</v>
      </c>
    </row>
    <row r="22" customFormat="false" ht="15" hidden="false" customHeight="false" outlineLevel="0" collapsed="false">
      <c r="B22" s="9" t="s">
        <v>76</v>
      </c>
      <c r="C22" s="16" t="n">
        <f aca="false">C21*C12</f>
        <v>8720.37269723805</v>
      </c>
    </row>
    <row r="24" customFormat="false" ht="15" hidden="false" customHeight="true" outlineLevel="0" collapsed="false">
      <c r="B24" s="8" t="s">
        <v>77</v>
      </c>
      <c r="C24" s="8"/>
      <c r="D24" s="8"/>
      <c r="E24" s="8"/>
      <c r="F24" s="8"/>
      <c r="G24" s="8"/>
      <c r="H24" s="8"/>
    </row>
    <row r="25" customFormat="false" ht="18.75" hidden="false" customHeight="true" outlineLevel="0" collapsed="false">
      <c r="B25" s="4" t="s">
        <v>78</v>
      </c>
      <c r="C25" s="4"/>
      <c r="D25" s="4"/>
      <c r="E25" s="4"/>
      <c r="F25" s="4"/>
      <c r="G25" s="4"/>
      <c r="H25" s="4"/>
    </row>
    <row r="26" customFormat="false" ht="15" hidden="false" customHeight="false" outlineLevel="0" collapsed="false">
      <c r="B26" s="5" t="s">
        <v>79</v>
      </c>
      <c r="C26" s="13" t="n">
        <f aca="false">C13*C8</f>
        <v>19.16872173358</v>
      </c>
      <c r="D26" s="14" t="s">
        <v>80</v>
      </c>
      <c r="E26" s="14"/>
      <c r="F26" s="14"/>
      <c r="G26" s="14"/>
      <c r="H26" s="14"/>
    </row>
    <row r="27" customFormat="false" ht="15" hidden="false" customHeight="false" outlineLevel="0" collapsed="false">
      <c r="B27" s="9" t="s">
        <v>81</v>
      </c>
      <c r="C27" s="12" t="n">
        <f aca="false">C14*C8</f>
        <v>219.815395500828</v>
      </c>
      <c r="D27" s="14" t="s">
        <v>82</v>
      </c>
      <c r="E27" s="14"/>
      <c r="F27" s="14"/>
      <c r="G27" s="14"/>
      <c r="H27" s="14"/>
    </row>
    <row r="28" customFormat="false" ht="15" hidden="false" customHeight="false" outlineLevel="0" collapsed="false">
      <c r="B28" s="9" t="s">
        <v>83</v>
      </c>
      <c r="C28" s="12" t="n">
        <f aca="false">C15/C8</f>
        <v>0.0521683195102253</v>
      </c>
      <c r="D28" s="14" t="s">
        <v>84</v>
      </c>
      <c r="E28" s="14"/>
      <c r="F28" s="14"/>
      <c r="G28" s="14"/>
      <c r="H28" s="14"/>
    </row>
    <row r="29" customFormat="false" ht="15" hidden="false" customHeight="true" outlineLevel="0" collapsed="false">
      <c r="B29" s="8" t="s">
        <v>85</v>
      </c>
      <c r="C29" s="8"/>
      <c r="D29" s="8"/>
      <c r="E29" s="8"/>
      <c r="F29" s="8"/>
      <c r="G29" s="8"/>
      <c r="H29" s="8"/>
    </row>
    <row r="31" customFormat="false" ht="18.75" hidden="false" customHeight="true" outlineLevel="0" collapsed="false">
      <c r="B31" s="4" t="s">
        <v>86</v>
      </c>
      <c r="C31" s="4"/>
      <c r="D31" s="4"/>
      <c r="E31" s="4"/>
      <c r="F31" s="4"/>
      <c r="G31" s="4"/>
      <c r="H31" s="4"/>
    </row>
    <row r="32" customFormat="false" ht="15" hidden="false" customHeight="false" outlineLevel="0" collapsed="false">
      <c r="B32" s="9" t="s">
        <v>87</v>
      </c>
      <c r="C32" s="17" t="n">
        <v>43.5</v>
      </c>
    </row>
    <row r="33" customFormat="false" ht="15" hidden="false" customHeight="false" outlineLevel="0" collapsed="false">
      <c r="B33" s="9" t="s">
        <v>88</v>
      </c>
      <c r="C33" s="18" t="n">
        <f aca="false">ROUNDDOWN(C32,0)</f>
        <v>43</v>
      </c>
    </row>
    <row r="34" customFormat="false" ht="15" hidden="false" customHeight="false" outlineLevel="0" collapsed="false">
      <c r="B34" s="9" t="s">
        <v>89</v>
      </c>
      <c r="C34" s="18" t="n">
        <f aca="false">ROUNDUP(C32,0)</f>
        <v>44</v>
      </c>
    </row>
    <row r="35" customFormat="false" ht="15" hidden="false" customHeight="false" outlineLevel="0" collapsed="false">
      <c r="B35" s="9" t="s">
        <v>90</v>
      </c>
      <c r="C35" s="12" t="n">
        <f aca="false">IF($C$6=0,C33,(C8^C33-1)/(C8^C33*(C8-1)))</f>
        <v>17.5459119783993</v>
      </c>
    </row>
    <row r="36" customFormat="false" ht="15" hidden="false" customHeight="false" outlineLevel="0" collapsed="false">
      <c r="B36" s="9" t="s">
        <v>91</v>
      </c>
      <c r="C36" s="12" t="n">
        <f aca="false">IF($C$6=0,C34,(C8^C34-1)/(C8^C34*(C8-1)))</f>
        <v>17.6627733127612</v>
      </c>
    </row>
    <row r="37" customFormat="false" ht="15" hidden="false" customHeight="false" outlineLevel="0" collapsed="false">
      <c r="B37" s="19" t="s">
        <v>92</v>
      </c>
      <c r="C37" s="20" t="n">
        <f aca="false">IF(C34=C33,C35,C35+(C32-C33)*(C36-C35))</f>
        <v>17.6043426455802</v>
      </c>
    </row>
    <row r="38" customFormat="false" ht="15" hidden="false" customHeight="false" outlineLevel="0" collapsed="false">
      <c r="B38" s="9" t="s">
        <v>93</v>
      </c>
      <c r="C38" s="12" t="n">
        <f aca="false">IF($C$6=0,C32,(C8^C32-1)/(C8^C32*(C8-1)))</f>
        <v>17.6050553206977</v>
      </c>
    </row>
    <row r="39" customFormat="false" ht="19.4" hidden="false" customHeight="true" outlineLevel="0" collapsed="false">
      <c r="B39" s="8" t="s">
        <v>94</v>
      </c>
      <c r="C39" s="8"/>
      <c r="D39" s="8"/>
      <c r="E39" s="8"/>
      <c r="F39" s="8"/>
      <c r="G39" s="8"/>
      <c r="H39" s="8"/>
    </row>
  </sheetData>
  <sheetProtection sheet="true" formatColumns="false" formatRows="false"/>
  <mergeCells count="19">
    <mergeCell ref="B2:H2"/>
    <mergeCell ref="B3:H3"/>
    <mergeCell ref="B5:H5"/>
    <mergeCell ref="B10:H10"/>
    <mergeCell ref="D11:H11"/>
    <mergeCell ref="D12:H12"/>
    <mergeCell ref="D13:H13"/>
    <mergeCell ref="D14:H14"/>
    <mergeCell ref="D15:H15"/>
    <mergeCell ref="D16:H16"/>
    <mergeCell ref="B18:H18"/>
    <mergeCell ref="B24:H24"/>
    <mergeCell ref="B25:H25"/>
    <mergeCell ref="D26:H26"/>
    <mergeCell ref="D27:H27"/>
    <mergeCell ref="D28:H28"/>
    <mergeCell ref="B29:H29"/>
    <mergeCell ref="B31:H31"/>
    <mergeCell ref="B39:H39"/>
  </mergeCells>
  <dataValidations count="3">
    <dataValidation allowBlank="true" error="Bitte einen Dezimalwert zwischen 0 und 1 eingeben (z. B. 0,045 für 4,5 %)." errorStyle="stop" errorTitle="Prozentwert ungültig" operator="between" prompt="Als Dezimalzahl: 0,045 = 4,5 %" promptTitle="Eingabe" showDropDown="false" showErrorMessage="true" showInputMessage="true" sqref="C6" type="decimal">
      <formula1>0</formula1>
      <formula2>1</formula2>
    </dataValidation>
    <dataValidation allowBlank="true" error="Bitte eine ganze Zahl eingeben (z. B. Jahre)." errorStyle="stop" errorTitle="Eingabe ungültig" operator="between" showDropDown="false" showErrorMessage="true" showInputMessage="false" sqref="C7" type="whole">
      <formula1>0</formula1>
      <formula2>2200</formula2>
    </dataValidation>
    <dataValidation allowBlank="true" error="Bitte eine Zahl eingeben (keinen Text)." errorStyle="stop" errorTitle="Eingabe ungültig" operator="between" showDropDown="false" showErrorMessage="true" showInputMessage="false" sqref="C19 C21 C32" type="decimal">
      <formula1>-1000000000000</formula1>
      <formula2>1000000000000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H2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5"/>
    <col collapsed="false" customWidth="true" hidden="false" outlineLevel="0" max="2" min="2" style="0" width="46"/>
    <col collapsed="false" customWidth="true" hidden="false" outlineLevel="0" max="5" min="3" style="0" width="18"/>
    <col collapsed="false" customWidth="true" hidden="false" outlineLevel="0" max="8" min="6" style="0" width="14"/>
  </cols>
  <sheetData>
    <row r="2" customFormat="false" ht="30" hidden="false" customHeight="true" outlineLevel="0" collapsed="false">
      <c r="B2" s="1" t="s">
        <v>95</v>
      </c>
      <c r="C2" s="1"/>
      <c r="D2" s="1"/>
      <c r="E2" s="1"/>
      <c r="F2" s="1"/>
      <c r="G2" s="1"/>
      <c r="H2" s="1"/>
    </row>
    <row r="3" customFormat="false" ht="15.75" hidden="false" customHeight="true" outlineLevel="0" collapsed="false">
      <c r="B3" s="2" t="s">
        <v>96</v>
      </c>
      <c r="C3" s="2"/>
      <c r="D3" s="2"/>
      <c r="E3" s="2"/>
      <c r="F3" s="2"/>
      <c r="G3" s="2"/>
      <c r="H3" s="2"/>
    </row>
    <row r="5" customFormat="false" ht="18.75" hidden="false" customHeight="true" outlineLevel="0" collapsed="false">
      <c r="B5" s="4" t="s">
        <v>97</v>
      </c>
      <c r="C5" s="4"/>
      <c r="D5" s="4"/>
      <c r="E5" s="4"/>
      <c r="F5" s="4"/>
      <c r="G5" s="4"/>
      <c r="H5" s="4"/>
    </row>
    <row r="6" customFormat="false" ht="15" hidden="false" customHeight="false" outlineLevel="0" collapsed="false">
      <c r="B6" s="9" t="s">
        <v>98</v>
      </c>
      <c r="C6" s="15" t="n">
        <v>60000</v>
      </c>
    </row>
    <row r="7" customFormat="false" ht="15" hidden="false" customHeight="false" outlineLevel="0" collapsed="false">
      <c r="B7" s="9" t="s">
        <v>99</v>
      </c>
      <c r="C7" s="15" t="n">
        <v>12000</v>
      </c>
    </row>
    <row r="8" customFormat="false" ht="15" hidden="false" customHeight="false" outlineLevel="0" collapsed="false">
      <c r="B8" s="9" t="s">
        <v>100</v>
      </c>
      <c r="C8" s="15" t="n">
        <v>300000</v>
      </c>
    </row>
    <row r="9" customFormat="false" ht="15" hidden="false" customHeight="false" outlineLevel="0" collapsed="false">
      <c r="B9" s="9" t="s">
        <v>101</v>
      </c>
      <c r="C9" s="10" t="n">
        <v>0.045</v>
      </c>
    </row>
    <row r="10" customFormat="false" ht="15" hidden="false" customHeight="false" outlineLevel="0" collapsed="false">
      <c r="B10" s="9" t="s">
        <v>102</v>
      </c>
      <c r="C10" s="11" t="n">
        <v>45</v>
      </c>
    </row>
    <row r="11" customFormat="false" ht="15" hidden="false" customHeight="false" outlineLevel="0" collapsed="false">
      <c r="B11" s="9" t="s">
        <v>58</v>
      </c>
      <c r="C11" s="12" t="n">
        <f aca="false">1+C9</f>
        <v>1.045</v>
      </c>
    </row>
    <row r="12" customFormat="false" ht="15" hidden="false" customHeight="false" outlineLevel="0" collapsed="false">
      <c r="B12" s="9" t="s">
        <v>103</v>
      </c>
      <c r="C12" s="12" t="n">
        <f aca="false">IF(C9=0,C10,(C11^C10-1)/(C11^C10*(C11-1)))</f>
        <v>19.1563474197535</v>
      </c>
    </row>
    <row r="13" customFormat="false" ht="18.75" hidden="false" customHeight="true" outlineLevel="0" collapsed="false">
      <c r="B13" s="4" t="s">
        <v>104</v>
      </c>
      <c r="C13" s="4"/>
      <c r="D13" s="4"/>
      <c r="E13" s="4"/>
      <c r="F13" s="4"/>
      <c r="G13" s="4"/>
      <c r="H13" s="4"/>
    </row>
    <row r="14" customFormat="false" ht="15" hidden="false" customHeight="false" outlineLevel="0" collapsed="false">
      <c r="B14" s="9" t="s">
        <v>105</v>
      </c>
      <c r="C14" s="21" t="n">
        <f aca="false">C6</f>
        <v>60000</v>
      </c>
    </row>
    <row r="15" customFormat="false" ht="15" hidden="false" customHeight="false" outlineLevel="0" collapsed="false">
      <c r="B15" s="9" t="s">
        <v>106</v>
      </c>
      <c r="C15" s="21" t="n">
        <f aca="false">-C7</f>
        <v>-12000</v>
      </c>
    </row>
    <row r="16" customFormat="false" ht="15" hidden="false" customHeight="false" outlineLevel="0" collapsed="false">
      <c r="B16" s="5" t="s">
        <v>107</v>
      </c>
      <c r="C16" s="16" t="n">
        <f aca="false">C6-C7</f>
        <v>48000</v>
      </c>
    </row>
    <row r="17" customFormat="false" ht="15" hidden="false" customHeight="false" outlineLevel="0" collapsed="false">
      <c r="B17" s="9" t="s">
        <v>108</v>
      </c>
      <c r="C17" s="21" t="n">
        <f aca="false">-C8*C9</f>
        <v>-13500</v>
      </c>
    </row>
    <row r="18" customFormat="false" ht="15" hidden="false" customHeight="false" outlineLevel="0" collapsed="false">
      <c r="B18" s="5" t="s">
        <v>109</v>
      </c>
      <c r="C18" s="16" t="n">
        <f aca="false">C16-C8*C9</f>
        <v>34500</v>
      </c>
    </row>
    <row r="19" customFormat="false" ht="15" hidden="false" customHeight="false" outlineLevel="0" collapsed="false">
      <c r="B19" s="5" t="s">
        <v>110</v>
      </c>
      <c r="C19" s="16" t="n">
        <f aca="false">C18*C12</f>
        <v>660893.985981495</v>
      </c>
    </row>
    <row r="20" customFormat="false" ht="15" hidden="false" customHeight="false" outlineLevel="0" collapsed="false">
      <c r="B20" s="9" t="s">
        <v>111</v>
      </c>
      <c r="C20" s="21" t="n">
        <f aca="false">C8</f>
        <v>300000</v>
      </c>
    </row>
    <row r="21" customFormat="false" ht="15" hidden="false" customHeight="false" outlineLevel="0" collapsed="false">
      <c r="B21" s="5" t="s">
        <v>112</v>
      </c>
      <c r="C21" s="16" t="n">
        <f aca="false">C19+C8</f>
        <v>960893.985981495</v>
      </c>
    </row>
    <row r="22" customFormat="false" ht="15" hidden="false" customHeight="false" outlineLevel="0" collapsed="false">
      <c r="B22" s="9" t="s">
        <v>113</v>
      </c>
      <c r="C22" s="15" t="n">
        <v>0</v>
      </c>
    </row>
    <row r="23" customFormat="false" ht="18.75" hidden="false" customHeight="true" outlineLevel="0" collapsed="false">
      <c r="B23" s="4" t="s">
        <v>114</v>
      </c>
      <c r="C23" s="4"/>
      <c r="D23" s="4"/>
      <c r="E23" s="4"/>
      <c r="F23" s="4"/>
      <c r="G23" s="4"/>
      <c r="H23" s="4"/>
    </row>
    <row r="24" customFormat="false" ht="15" hidden="false" customHeight="false" outlineLevel="0" collapsed="false">
      <c r="B24" s="19" t="s">
        <v>115</v>
      </c>
      <c r="C24" s="22" t="n">
        <f aca="false">C21+C22</f>
        <v>960893.985981495</v>
      </c>
    </row>
    <row r="26" customFormat="false" ht="19.4" hidden="false" customHeight="true" outlineLevel="0" collapsed="false">
      <c r="B26" s="8" t="s">
        <v>116</v>
      </c>
      <c r="C26" s="8"/>
      <c r="D26" s="8"/>
      <c r="E26" s="8"/>
      <c r="F26" s="8"/>
      <c r="G26" s="8"/>
      <c r="H26" s="8"/>
    </row>
  </sheetData>
  <sheetProtection sheet="true" formatColumns="false" formatRows="false"/>
  <mergeCells count="6">
    <mergeCell ref="B2:H2"/>
    <mergeCell ref="B3:H3"/>
    <mergeCell ref="B5:H5"/>
    <mergeCell ref="B13:H13"/>
    <mergeCell ref="B23:H23"/>
    <mergeCell ref="B26:H26"/>
  </mergeCells>
  <dataValidations count="3">
    <dataValidation allowBlank="true" error="Bitte einen Dezimalwert zwischen 0 und 1 eingeben (z. B. 0,045 für 4,5 %)." errorStyle="stop" errorTitle="Prozentwert ungültig" operator="between" prompt="Als Dezimalzahl: 0,045 = 4,5 %" promptTitle="Eingabe" showDropDown="false" showErrorMessage="true" showInputMessage="true" sqref="C9" type="decimal">
      <formula1>0</formula1>
      <formula2>1</formula2>
    </dataValidation>
    <dataValidation allowBlank="true" error="Bitte eine ganze Zahl eingeben (z. B. Jahre)." errorStyle="stop" errorTitle="Eingabe ungültig" operator="between" showDropDown="false" showErrorMessage="true" showInputMessage="false" sqref="C10" type="whole">
      <formula1>0</formula1>
      <formula2>2200</formula2>
    </dataValidation>
    <dataValidation allowBlank="true" error="Bitte eine Zahl eingeben (keinen Text)." errorStyle="stop" errorTitle="Eingabe ungültig" operator="between" showDropDown="false" showErrorMessage="true" showInputMessage="false" sqref="C6:C8 C22" type="decimal">
      <formula1>-1000000000000</formula1>
      <formula2>1000000000000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H2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5"/>
    <col collapsed="false" customWidth="true" hidden="false" outlineLevel="0" max="2" min="2" style="0" width="46"/>
    <col collapsed="false" customWidth="true" hidden="false" outlineLevel="0" max="5" min="3" style="0" width="18"/>
    <col collapsed="false" customWidth="true" hidden="false" outlineLevel="0" max="8" min="6" style="0" width="14"/>
  </cols>
  <sheetData>
    <row r="2" customFormat="false" ht="30" hidden="false" customHeight="true" outlineLevel="0" collapsed="false">
      <c r="B2" s="1" t="s">
        <v>117</v>
      </c>
      <c r="C2" s="1"/>
      <c r="D2" s="1"/>
      <c r="E2" s="1"/>
      <c r="F2" s="1"/>
      <c r="G2" s="1"/>
      <c r="H2" s="1"/>
    </row>
    <row r="3" customFormat="false" ht="15.75" hidden="false" customHeight="true" outlineLevel="0" collapsed="false">
      <c r="B3" s="2" t="s">
        <v>118</v>
      </c>
      <c r="C3" s="2"/>
      <c r="D3" s="2"/>
      <c r="E3" s="2"/>
      <c r="F3" s="2"/>
      <c r="G3" s="2"/>
      <c r="H3" s="2"/>
    </row>
    <row r="5" customFormat="false" ht="18.75" hidden="false" customHeight="true" outlineLevel="0" collapsed="false">
      <c r="B5" s="4" t="s">
        <v>97</v>
      </c>
      <c r="C5" s="4"/>
      <c r="D5" s="4"/>
      <c r="E5" s="4"/>
      <c r="F5" s="4"/>
      <c r="G5" s="4"/>
      <c r="H5" s="4"/>
    </row>
    <row r="6" customFormat="false" ht="15" hidden="false" customHeight="false" outlineLevel="0" collapsed="false">
      <c r="B6" s="9" t="s">
        <v>105</v>
      </c>
      <c r="C6" s="15" t="n">
        <v>60000</v>
      </c>
    </row>
    <row r="7" customFormat="false" ht="15" hidden="false" customHeight="false" outlineLevel="0" collapsed="false">
      <c r="B7" s="9" t="s">
        <v>99</v>
      </c>
      <c r="C7" s="15" t="n">
        <v>12000</v>
      </c>
    </row>
    <row r="8" customFormat="false" ht="15" hidden="false" customHeight="false" outlineLevel="0" collapsed="false">
      <c r="B8" s="9" t="s">
        <v>100</v>
      </c>
      <c r="C8" s="15" t="n">
        <v>300000</v>
      </c>
    </row>
    <row r="9" customFormat="false" ht="15" hidden="false" customHeight="false" outlineLevel="0" collapsed="false">
      <c r="B9" s="9" t="s">
        <v>101</v>
      </c>
      <c r="C9" s="10" t="n">
        <v>0.045</v>
      </c>
    </row>
    <row r="10" customFormat="false" ht="15" hidden="false" customHeight="false" outlineLevel="0" collapsed="false">
      <c r="B10" s="9" t="s">
        <v>102</v>
      </c>
      <c r="C10" s="11" t="n">
        <v>45</v>
      </c>
    </row>
    <row r="11" customFormat="false" ht="15" hidden="false" customHeight="false" outlineLevel="0" collapsed="false">
      <c r="B11" s="9" t="s">
        <v>58</v>
      </c>
      <c r="C11" s="12" t="n">
        <f aca="false">1+C9</f>
        <v>1.045</v>
      </c>
    </row>
    <row r="12" customFormat="false" ht="15" hidden="false" customHeight="false" outlineLevel="0" collapsed="false">
      <c r="B12" s="9" t="s">
        <v>119</v>
      </c>
      <c r="C12" s="12" t="n">
        <f aca="false">IF(C9=0,C10,(C11^C10-1)/(C11^C10*(C11-1)))</f>
        <v>19.1563474197535</v>
      </c>
    </row>
    <row r="13" customFormat="false" ht="15" hidden="false" customHeight="false" outlineLevel="0" collapsed="false">
      <c r="B13" s="9" t="s">
        <v>62</v>
      </c>
      <c r="C13" s="12" t="n">
        <f aca="false">1/C11^C10</f>
        <v>0.137964366111095</v>
      </c>
    </row>
    <row r="14" customFormat="false" ht="18.75" hidden="false" customHeight="true" outlineLevel="0" collapsed="false">
      <c r="B14" s="4" t="s">
        <v>104</v>
      </c>
      <c r="C14" s="4"/>
      <c r="D14" s="4"/>
      <c r="E14" s="4"/>
      <c r="F14" s="4"/>
      <c r="G14" s="4"/>
      <c r="H14" s="4"/>
    </row>
    <row r="15" customFormat="false" ht="15" hidden="false" customHeight="false" outlineLevel="0" collapsed="false">
      <c r="B15" s="5" t="s">
        <v>120</v>
      </c>
      <c r="C15" s="16" t="n">
        <f aca="false">C6-C7</f>
        <v>48000</v>
      </c>
    </row>
    <row r="16" customFormat="false" ht="15" hidden="false" customHeight="false" outlineLevel="0" collapsed="false">
      <c r="B16" s="9" t="s">
        <v>121</v>
      </c>
      <c r="C16" s="21" t="n">
        <f aca="false">C15*C12</f>
        <v>919504.676148167</v>
      </c>
    </row>
    <row r="17" customFormat="false" ht="15" hidden="false" customHeight="false" outlineLevel="0" collapsed="false">
      <c r="B17" s="9" t="s">
        <v>122</v>
      </c>
      <c r="C17" s="21" t="n">
        <f aca="false">C8*C13</f>
        <v>41389.3098333286</v>
      </c>
    </row>
    <row r="18" customFormat="false" ht="15" hidden="false" customHeight="false" outlineLevel="0" collapsed="false">
      <c r="B18" s="9" t="s">
        <v>113</v>
      </c>
      <c r="C18" s="15" t="n">
        <v>0</v>
      </c>
    </row>
    <row r="19" customFormat="false" ht="18.75" hidden="false" customHeight="true" outlineLevel="0" collapsed="false">
      <c r="B19" s="4" t="s">
        <v>114</v>
      </c>
      <c r="C19" s="4"/>
      <c r="D19" s="4"/>
      <c r="E19" s="4"/>
      <c r="F19" s="4"/>
      <c r="G19" s="4"/>
      <c r="H19" s="4"/>
    </row>
    <row r="20" customFormat="false" ht="15" hidden="false" customHeight="false" outlineLevel="0" collapsed="false">
      <c r="B20" s="19" t="s">
        <v>123</v>
      </c>
      <c r="C20" s="22" t="n">
        <f aca="false">C15*C12+C17+C18</f>
        <v>960893.985981495</v>
      </c>
    </row>
    <row r="22" customFormat="false" ht="19.4" hidden="false" customHeight="true" outlineLevel="0" collapsed="false">
      <c r="B22" s="8" t="s">
        <v>124</v>
      </c>
      <c r="C22" s="8"/>
      <c r="D22" s="8"/>
      <c r="E22" s="8"/>
      <c r="F22" s="8"/>
      <c r="G22" s="8"/>
      <c r="H22" s="8"/>
    </row>
  </sheetData>
  <sheetProtection sheet="true" formatColumns="false" formatRows="false"/>
  <mergeCells count="6">
    <mergeCell ref="B2:H2"/>
    <mergeCell ref="B3:H3"/>
    <mergeCell ref="B5:H5"/>
    <mergeCell ref="B14:H14"/>
    <mergeCell ref="B19:H19"/>
    <mergeCell ref="B22:H22"/>
  </mergeCells>
  <dataValidations count="3">
    <dataValidation allowBlank="true" error="Bitte einen Dezimalwert zwischen 0 und 1 eingeben (z. B. 0,045 für 4,5 %)." errorStyle="stop" errorTitle="Prozentwert ungültig" operator="between" prompt="Als Dezimalzahl: 0,045 = 4,5 %" promptTitle="Eingabe" showDropDown="false" showErrorMessage="true" showInputMessage="true" sqref="C9" type="decimal">
      <formula1>0</formula1>
      <formula2>1</formula2>
    </dataValidation>
    <dataValidation allowBlank="true" error="Bitte eine ganze Zahl eingeben (z. B. Jahre)." errorStyle="stop" errorTitle="Eingabe ungültig" operator="between" showDropDown="false" showErrorMessage="true" showInputMessage="false" sqref="C10" type="whole">
      <formula1>0</formula1>
      <formula2>2200</formula2>
    </dataValidation>
    <dataValidation allowBlank="true" error="Bitte eine Zahl eingeben (keinen Text)." errorStyle="stop" errorTitle="Eingabe ungültig" operator="between" showDropDown="false" showErrorMessage="true" showInputMessage="false" sqref="C6:C8 C18" type="decimal">
      <formula1>-1000000000000</formula1>
      <formula2>1000000000000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H2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5"/>
    <col collapsed="false" customWidth="true" hidden="false" outlineLevel="0" max="2" min="2" style="0" width="30"/>
    <col collapsed="false" customWidth="true" hidden="false" outlineLevel="0" max="8" min="3" style="0" width="16"/>
  </cols>
  <sheetData>
    <row r="2" customFormat="false" ht="30" hidden="false" customHeight="true" outlineLevel="0" collapsed="false">
      <c r="B2" s="1" t="s">
        <v>125</v>
      </c>
      <c r="C2" s="1"/>
      <c r="D2" s="1"/>
      <c r="E2" s="1"/>
      <c r="F2" s="1"/>
      <c r="G2" s="1"/>
      <c r="H2" s="1"/>
    </row>
    <row r="3" customFormat="false" ht="15.75" hidden="false" customHeight="true" outlineLevel="0" collapsed="false">
      <c r="B3" s="2" t="s">
        <v>126</v>
      </c>
      <c r="C3" s="2"/>
      <c r="D3" s="2"/>
      <c r="E3" s="2"/>
      <c r="F3" s="2"/>
      <c r="G3" s="2"/>
      <c r="H3" s="2"/>
    </row>
    <row r="5" customFormat="false" ht="18.75" hidden="false" customHeight="true" outlineLevel="0" collapsed="false">
      <c r="B5" s="4" t="s">
        <v>127</v>
      </c>
      <c r="C5" s="4"/>
      <c r="D5" s="4"/>
      <c r="E5" s="4"/>
      <c r="F5" s="4"/>
      <c r="G5" s="4"/>
      <c r="H5" s="4"/>
    </row>
    <row r="6" customFormat="false" ht="15" hidden="false" customHeight="false" outlineLevel="0" collapsed="false">
      <c r="B6" s="9" t="s">
        <v>128</v>
      </c>
      <c r="C6" s="10" t="n">
        <v>0.05</v>
      </c>
    </row>
    <row r="7" customFormat="false" ht="15" hidden="false" customHeight="false" outlineLevel="0" collapsed="false">
      <c r="B7" s="9" t="s">
        <v>129</v>
      </c>
      <c r="C7" s="11" t="n">
        <v>10</v>
      </c>
    </row>
    <row r="8" customFormat="false" ht="15" hidden="false" customHeight="false" outlineLevel="0" collapsed="false">
      <c r="B8" s="9" t="s">
        <v>130</v>
      </c>
      <c r="C8" s="15" t="n">
        <v>650000</v>
      </c>
      <c r="E8" s="9" t="s">
        <v>131</v>
      </c>
      <c r="F8" s="12" t="n">
        <f aca="false">1+C6</f>
        <v>1.05</v>
      </c>
    </row>
    <row r="10" customFormat="false" ht="18.75" hidden="false" customHeight="true" outlineLevel="0" collapsed="false">
      <c r="B10" s="4" t="s">
        <v>132</v>
      </c>
      <c r="C10" s="4"/>
      <c r="D10" s="4"/>
      <c r="E10" s="4"/>
      <c r="F10" s="4"/>
      <c r="G10" s="4"/>
      <c r="H10" s="4"/>
    </row>
    <row r="11" customFormat="false" ht="15" hidden="false" customHeight="false" outlineLevel="0" collapsed="false">
      <c r="B11" s="23" t="s">
        <v>133</v>
      </c>
      <c r="C11" s="23" t="s">
        <v>134</v>
      </c>
      <c r="D11" s="23" t="s">
        <v>135</v>
      </c>
      <c r="E11" s="23" t="s">
        <v>136</v>
      </c>
    </row>
    <row r="12" customFormat="false" ht="15" hidden="false" customHeight="false" outlineLevel="0" collapsed="false">
      <c r="B12" s="24" t="n">
        <v>1</v>
      </c>
      <c r="C12" s="15" t="n">
        <v>48000</v>
      </c>
      <c r="D12" s="12" t="n">
        <f aca="false">IF(B12&lt;=$C$7,1/$F$8^B12,0)</f>
        <v>0.952380952380952</v>
      </c>
      <c r="E12" s="21" t="n">
        <f aca="false">C12*D12</f>
        <v>45714.2857142857</v>
      </c>
    </row>
    <row r="13" customFormat="false" ht="15" hidden="false" customHeight="false" outlineLevel="0" collapsed="false">
      <c r="B13" s="24" t="n">
        <v>2</v>
      </c>
      <c r="C13" s="15" t="n">
        <v>48960</v>
      </c>
      <c r="D13" s="12" t="n">
        <f aca="false">IF(B13&lt;=$C$7,1/$F$8^B13,0)</f>
        <v>0.90702947845805</v>
      </c>
      <c r="E13" s="21" t="n">
        <f aca="false">C13*D13</f>
        <v>44408.1632653061</v>
      </c>
    </row>
    <row r="14" customFormat="false" ht="15" hidden="false" customHeight="false" outlineLevel="0" collapsed="false">
      <c r="B14" s="24" t="n">
        <v>3</v>
      </c>
      <c r="C14" s="15" t="n">
        <v>49939</v>
      </c>
      <c r="D14" s="12" t="n">
        <f aca="false">IF(B14&lt;=$C$7,1/$F$8^B14,0)</f>
        <v>0.863837598531476</v>
      </c>
      <c r="E14" s="21" t="n">
        <f aca="false">C14*D14</f>
        <v>43139.1858330634</v>
      </c>
    </row>
    <row r="15" customFormat="false" ht="15" hidden="false" customHeight="false" outlineLevel="0" collapsed="false">
      <c r="B15" s="24" t="n">
        <v>4</v>
      </c>
      <c r="C15" s="15" t="n">
        <v>50938</v>
      </c>
      <c r="D15" s="12" t="n">
        <f aca="false">IF(B15&lt;=$C$7,1/$F$8^B15,0)</f>
        <v>0.822702474791882</v>
      </c>
      <c r="E15" s="21" t="n">
        <f aca="false">C15*D15</f>
        <v>41906.8186609489</v>
      </c>
    </row>
    <row r="16" customFormat="false" ht="15" hidden="false" customHeight="false" outlineLevel="0" collapsed="false">
      <c r="B16" s="24" t="n">
        <v>5</v>
      </c>
      <c r="C16" s="15" t="n">
        <v>51957</v>
      </c>
      <c r="D16" s="12" t="n">
        <f aca="false">IF(B16&lt;=$C$7,1/$F$8^B16,0)</f>
        <v>0.783526166468459</v>
      </c>
      <c r="E16" s="21" t="n">
        <f aca="false">C16*D16</f>
        <v>40709.6690312017</v>
      </c>
    </row>
    <row r="17" customFormat="false" ht="15" hidden="false" customHeight="false" outlineLevel="0" collapsed="false">
      <c r="B17" s="24" t="n">
        <v>6</v>
      </c>
      <c r="C17" s="15" t="n">
        <v>52996</v>
      </c>
      <c r="D17" s="12" t="n">
        <f aca="false">IF(B17&lt;=$C$7,1/$F$8^B17,0)</f>
        <v>0.746215396636627</v>
      </c>
      <c r="E17" s="21" t="n">
        <f aca="false">C17*D17</f>
        <v>39546.4311601547</v>
      </c>
    </row>
    <row r="18" customFormat="false" ht="15" hidden="false" customHeight="false" outlineLevel="0" collapsed="false">
      <c r="B18" s="24" t="n">
        <v>7</v>
      </c>
      <c r="C18" s="15" t="n">
        <v>54056</v>
      </c>
      <c r="D18" s="12" t="n">
        <f aca="false">IF(B18&lt;=$C$7,1/$F$8^B18,0)</f>
        <v>0.710681330130121</v>
      </c>
      <c r="E18" s="21" t="n">
        <f aca="false">C18*D18</f>
        <v>38416.5899815138</v>
      </c>
    </row>
    <row r="19" customFormat="false" ht="15" hidden="false" customHeight="false" outlineLevel="0" collapsed="false">
      <c r="B19" s="24" t="n">
        <v>8</v>
      </c>
      <c r="C19" s="15" t="n">
        <v>55137</v>
      </c>
      <c r="D19" s="12" t="n">
        <f aca="false">IF(B19&lt;=$C$7,1/$F$8^B19,0)</f>
        <v>0.676839362028687</v>
      </c>
      <c r="E19" s="21" t="n">
        <f aca="false">C19*D19</f>
        <v>37318.8919041757</v>
      </c>
    </row>
    <row r="20" customFormat="false" ht="15" hidden="false" customHeight="false" outlineLevel="0" collapsed="false">
      <c r="B20" s="24" t="n">
        <v>9</v>
      </c>
      <c r="C20" s="15" t="n">
        <v>56240</v>
      </c>
      <c r="D20" s="12" t="n">
        <f aca="false">IF(B20&lt;=$C$7,1/$F$8^B20,0)</f>
        <v>0.644608916217797</v>
      </c>
      <c r="E20" s="21" t="n">
        <f aca="false">C20*D20</f>
        <v>36252.8054480889</v>
      </c>
    </row>
    <row r="21" customFormat="false" ht="15" hidden="false" customHeight="false" outlineLevel="0" collapsed="false">
      <c r="B21" s="24" t="n">
        <v>10</v>
      </c>
      <c r="C21" s="15" t="n">
        <v>57364</v>
      </c>
      <c r="D21" s="12" t="n">
        <f aca="false">IF(B21&lt;=$C$7,1/$F$8^B21,0)</f>
        <v>0.613913253540759</v>
      </c>
      <c r="E21" s="21" t="n">
        <f aca="false">C21*D21</f>
        <v>35216.5198761121</v>
      </c>
    </row>
    <row r="22" customFormat="false" ht="18.75" hidden="false" customHeight="true" outlineLevel="0" collapsed="false">
      <c r="B22" s="4" t="s">
        <v>137</v>
      </c>
      <c r="C22" s="4"/>
      <c r="D22" s="4"/>
      <c r="E22" s="4"/>
      <c r="F22" s="4"/>
      <c r="G22" s="4"/>
      <c r="H22" s="4"/>
    </row>
    <row r="23" customFormat="false" ht="15" hidden="false" customHeight="false" outlineLevel="0" collapsed="false">
      <c r="B23" s="9" t="s">
        <v>138</v>
      </c>
      <c r="C23" s="16" t="n">
        <f aca="false">SUM(E12:E21)</f>
        <v>402629.360874851</v>
      </c>
    </row>
    <row r="24" customFormat="false" ht="15" hidden="false" customHeight="false" outlineLevel="0" collapsed="false">
      <c r="B24" s="9" t="s">
        <v>139</v>
      </c>
      <c r="C24" s="16" t="n">
        <f aca="false">C8/F8^C7</f>
        <v>399043.614801494</v>
      </c>
    </row>
    <row r="25" customFormat="false" ht="18.75" hidden="false" customHeight="true" outlineLevel="0" collapsed="false">
      <c r="B25" s="4" t="s">
        <v>114</v>
      </c>
      <c r="C25" s="4"/>
      <c r="D25" s="4"/>
      <c r="E25" s="4"/>
      <c r="F25" s="4"/>
      <c r="G25" s="4"/>
      <c r="H25" s="4"/>
    </row>
    <row r="26" customFormat="false" ht="15" hidden="false" customHeight="false" outlineLevel="0" collapsed="false">
      <c r="B26" s="19" t="s">
        <v>140</v>
      </c>
      <c r="C26" s="22" t="n">
        <f aca="false">C23+C24</f>
        <v>801672.975676345</v>
      </c>
    </row>
    <row r="28" customFormat="false" ht="19.4" hidden="false" customHeight="true" outlineLevel="0" collapsed="false">
      <c r="B28" s="8" t="s">
        <v>141</v>
      </c>
      <c r="C28" s="8"/>
      <c r="D28" s="8"/>
      <c r="E28" s="8"/>
      <c r="F28" s="8"/>
      <c r="G28" s="8"/>
      <c r="H28" s="8"/>
    </row>
  </sheetData>
  <sheetProtection sheet="true" formatColumns="false" formatRows="false"/>
  <mergeCells count="7">
    <mergeCell ref="B2:H2"/>
    <mergeCell ref="B3:H3"/>
    <mergeCell ref="B5:H5"/>
    <mergeCell ref="B10:H10"/>
    <mergeCell ref="B22:H22"/>
    <mergeCell ref="B25:H25"/>
    <mergeCell ref="B28:H28"/>
  </mergeCells>
  <dataValidations count="3">
    <dataValidation allowBlank="true" error="Bitte einen Dezimalwert zwischen 0 und 1 eingeben (z. B. 0,045 für 4,5 %)." errorStyle="stop" errorTitle="Prozentwert ungültig" operator="between" prompt="Als Dezimalzahl: 0,045 = 4,5 %" promptTitle="Eingabe" showDropDown="false" showErrorMessage="true" showInputMessage="true" sqref="C6" type="decimal">
      <formula1>0</formula1>
      <formula2>1</formula2>
    </dataValidation>
    <dataValidation allowBlank="true" error="Bitte eine ganze Zahl eingeben (z. B. Jahre)." errorStyle="stop" errorTitle="Eingabe ungültig" operator="between" showDropDown="false" showErrorMessage="true" showInputMessage="false" sqref="C7" type="whole">
      <formula1>0</formula1>
      <formula2>2200</formula2>
    </dataValidation>
    <dataValidation allowBlank="true" error="Bitte eine Zahl eingeben (keinen Text)." errorStyle="stop" errorTitle="Eingabe ungültig" operator="between" showDropDown="false" showErrorMessage="true" showInputMessage="false" sqref="C8 C12:C21" type="decimal">
      <formula1>-1000000000000</formula1>
      <formula2>1000000000000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H2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5"/>
    <col collapsed="false" customWidth="true" hidden="false" outlineLevel="0" max="2" min="2" style="0" width="48"/>
    <col collapsed="false" customWidth="true" hidden="false" outlineLevel="0" max="4" min="3" style="0" width="18"/>
    <col collapsed="false" customWidth="true" hidden="false" outlineLevel="0" max="5" min="5" style="0" width="16"/>
    <col collapsed="false" customWidth="true" hidden="false" outlineLevel="0" max="6" min="6" style="0" width="15"/>
    <col collapsed="false" customWidth="true" hidden="false" outlineLevel="0" max="8" min="7" style="0" width="14"/>
  </cols>
  <sheetData>
    <row r="2" customFormat="false" ht="30" hidden="false" customHeight="true" outlineLevel="0" collapsed="false">
      <c r="B2" s="1" t="s">
        <v>142</v>
      </c>
      <c r="C2" s="1"/>
      <c r="D2" s="1"/>
      <c r="E2" s="1"/>
      <c r="F2" s="1"/>
      <c r="G2" s="1"/>
      <c r="H2" s="1"/>
    </row>
    <row r="3" customFormat="false" ht="15.75" hidden="false" customHeight="true" outlineLevel="0" collapsed="false">
      <c r="B3" s="2" t="s">
        <v>143</v>
      </c>
      <c r="C3" s="2"/>
      <c r="D3" s="2"/>
      <c r="E3" s="2"/>
      <c r="F3" s="2"/>
      <c r="G3" s="2"/>
      <c r="H3" s="2"/>
    </row>
    <row r="5" customFormat="false" ht="18.75" hidden="false" customHeight="true" outlineLevel="0" collapsed="false">
      <c r="B5" s="4" t="s">
        <v>144</v>
      </c>
      <c r="C5" s="4"/>
      <c r="D5" s="4"/>
      <c r="E5" s="4"/>
      <c r="F5" s="4"/>
      <c r="G5" s="4"/>
      <c r="H5" s="4"/>
    </row>
    <row r="6" customFormat="false" ht="15" hidden="false" customHeight="false" outlineLevel="0" collapsed="false">
      <c r="B6" s="9" t="s">
        <v>145</v>
      </c>
      <c r="C6" s="25" t="n">
        <v>420</v>
      </c>
    </row>
    <row r="7" customFormat="false" ht="15" hidden="false" customHeight="false" outlineLevel="0" collapsed="false">
      <c r="B7" s="9" t="s">
        <v>146</v>
      </c>
      <c r="C7" s="15" t="n">
        <v>1450</v>
      </c>
    </row>
    <row r="8" customFormat="false" ht="15" hidden="false" customHeight="false" outlineLevel="0" collapsed="false">
      <c r="B8" s="9" t="s">
        <v>147</v>
      </c>
      <c r="C8" s="17" t="n">
        <v>165</v>
      </c>
    </row>
    <row r="9" customFormat="false" ht="15" hidden="false" customHeight="false" outlineLevel="0" collapsed="false">
      <c r="B9" s="9" t="s">
        <v>148</v>
      </c>
      <c r="C9" s="26" t="n">
        <v>1</v>
      </c>
    </row>
    <row r="10" customFormat="false" ht="15" hidden="false" customHeight="false" outlineLevel="0" collapsed="false">
      <c r="B10" s="5" t="s">
        <v>149</v>
      </c>
      <c r="C10" s="16" t="n">
        <f aca="false">C6*C7*(C8/100)*C9</f>
        <v>1004850</v>
      </c>
    </row>
    <row r="11" customFormat="false" ht="18.75" hidden="false" customHeight="true" outlineLevel="0" collapsed="false">
      <c r="B11" s="4" t="s">
        <v>150</v>
      </c>
      <c r="C11" s="4"/>
      <c r="D11" s="4"/>
      <c r="E11" s="4"/>
      <c r="F11" s="4"/>
      <c r="G11" s="4"/>
      <c r="H11" s="4"/>
    </row>
    <row r="12" customFormat="false" ht="15" hidden="false" customHeight="false" outlineLevel="0" collapsed="false">
      <c r="B12" s="9" t="s">
        <v>151</v>
      </c>
      <c r="C12" s="11" t="n">
        <v>80</v>
      </c>
    </row>
    <row r="13" customFormat="false" ht="15" hidden="false" customHeight="false" outlineLevel="0" collapsed="false">
      <c r="B13" s="9" t="s">
        <v>152</v>
      </c>
      <c r="C13" s="27" t="n">
        <f aca="false">IF($F$14="Automatisch",ROUND('09 Modernisierungspunkte'!$C$30,0),$F$13)</f>
        <v>50</v>
      </c>
      <c r="E13" s="28" t="s">
        <v>153</v>
      </c>
      <c r="F13" s="29" t="n">
        <v>55</v>
      </c>
    </row>
    <row r="14" customFormat="false" ht="15" hidden="false" customHeight="false" outlineLevel="0" collapsed="false">
      <c r="B14" s="9" t="s">
        <v>154</v>
      </c>
      <c r="C14" s="30" t="n">
        <f aca="false">C13/C12</f>
        <v>0.625</v>
      </c>
      <c r="E14" s="28" t="s">
        <v>155</v>
      </c>
      <c r="F14" s="31" t="s">
        <v>156</v>
      </c>
    </row>
    <row r="15" customFormat="false" ht="15" hidden="false" customHeight="false" outlineLevel="0" collapsed="false">
      <c r="B15" s="9" t="s">
        <v>157</v>
      </c>
      <c r="C15" s="21" t="n">
        <f aca="false">-(1-C14)*C10</f>
        <v>-376818.75</v>
      </c>
    </row>
    <row r="16" customFormat="false" ht="15" hidden="false" customHeight="false" outlineLevel="0" collapsed="false">
      <c r="B16" s="5" t="s">
        <v>158</v>
      </c>
      <c r="C16" s="16" t="n">
        <f aca="false">C10*C14</f>
        <v>628031.25</v>
      </c>
    </row>
    <row r="17" customFormat="false" ht="18.75" hidden="false" customHeight="true" outlineLevel="0" collapsed="false">
      <c r="B17" s="4" t="s">
        <v>159</v>
      </c>
      <c r="C17" s="4"/>
      <c r="D17" s="4"/>
      <c r="E17" s="4"/>
      <c r="F17" s="4"/>
      <c r="G17" s="4"/>
      <c r="H17" s="4"/>
    </row>
    <row r="18" customFormat="false" ht="15" hidden="false" customHeight="false" outlineLevel="0" collapsed="false">
      <c r="B18" s="9" t="s">
        <v>160</v>
      </c>
      <c r="C18" s="15" t="n">
        <v>15000</v>
      </c>
    </row>
    <row r="19" customFormat="false" ht="15" hidden="false" customHeight="false" outlineLevel="0" collapsed="false">
      <c r="B19" s="9" t="s">
        <v>161</v>
      </c>
      <c r="C19" s="15" t="n">
        <v>0</v>
      </c>
    </row>
    <row r="20" customFormat="false" ht="15" hidden="false" customHeight="false" outlineLevel="0" collapsed="false">
      <c r="B20" s="9" t="s">
        <v>111</v>
      </c>
      <c r="C20" s="15" t="n">
        <v>300000</v>
      </c>
    </row>
    <row r="21" customFormat="false" ht="15" hidden="false" customHeight="false" outlineLevel="0" collapsed="false">
      <c r="B21" s="5" t="s">
        <v>162</v>
      </c>
      <c r="C21" s="16" t="n">
        <f aca="false">C16+C18+C19+C20</f>
        <v>943031.25</v>
      </c>
    </row>
    <row r="22" customFormat="false" ht="18.75" hidden="false" customHeight="true" outlineLevel="0" collapsed="false">
      <c r="B22" s="4" t="s">
        <v>163</v>
      </c>
      <c r="C22" s="4"/>
      <c r="D22" s="4"/>
      <c r="E22" s="4"/>
      <c r="F22" s="4"/>
      <c r="G22" s="4"/>
      <c r="H22" s="4"/>
    </row>
    <row r="23" customFormat="false" ht="15" hidden="false" customHeight="false" outlineLevel="0" collapsed="false">
      <c r="B23" s="9" t="s">
        <v>164</v>
      </c>
      <c r="C23" s="26" t="n">
        <v>1.1</v>
      </c>
    </row>
    <row r="24" customFormat="false" ht="15" hidden="false" customHeight="false" outlineLevel="0" collapsed="false">
      <c r="B24" s="5" t="s">
        <v>165</v>
      </c>
      <c r="C24" s="16" t="n">
        <f aca="false">C21*C23</f>
        <v>1037334.375</v>
      </c>
    </row>
    <row r="25" customFormat="false" ht="15" hidden="false" customHeight="false" outlineLevel="0" collapsed="false">
      <c r="B25" s="9" t="s">
        <v>113</v>
      </c>
      <c r="C25" s="15" t="n">
        <v>0</v>
      </c>
    </row>
    <row r="26" customFormat="false" ht="18.75" hidden="false" customHeight="true" outlineLevel="0" collapsed="false">
      <c r="B26" s="4" t="s">
        <v>114</v>
      </c>
      <c r="C26" s="4"/>
      <c r="D26" s="4"/>
      <c r="E26" s="4"/>
      <c r="F26" s="4"/>
      <c r="G26" s="4"/>
      <c r="H26" s="4"/>
    </row>
    <row r="27" customFormat="false" ht="15" hidden="false" customHeight="false" outlineLevel="0" collapsed="false">
      <c r="B27" s="19" t="s">
        <v>166</v>
      </c>
      <c r="C27" s="22" t="n">
        <f aca="false">C24+C25</f>
        <v>1037334.375</v>
      </c>
    </row>
    <row r="29" customFormat="false" ht="19.4" hidden="false" customHeight="true" outlineLevel="0" collapsed="false">
      <c r="B29" s="8" t="s">
        <v>167</v>
      </c>
      <c r="C29" s="8"/>
      <c r="D29" s="8"/>
      <c r="E29" s="8"/>
      <c r="F29" s="8"/>
      <c r="G29" s="8"/>
      <c r="H29" s="8"/>
    </row>
  </sheetData>
  <sheetProtection sheet="true" formatColumns="false" formatRows="false"/>
  <mergeCells count="8">
    <mergeCell ref="B2:H2"/>
    <mergeCell ref="B3:H3"/>
    <mergeCell ref="B5:H5"/>
    <mergeCell ref="B11:H11"/>
    <mergeCell ref="B17:H17"/>
    <mergeCell ref="B22:H22"/>
    <mergeCell ref="B26:H26"/>
    <mergeCell ref="B29:H29"/>
  </mergeCells>
  <dataValidations count="3">
    <dataValidation allowBlank="true" error="Bitte eine ganze Zahl eingeben (z. B. Jahre)." errorStyle="stop" errorTitle="Eingabe ungültig" operator="between" showDropDown="false" showErrorMessage="true" showInputMessage="false" sqref="C12 F13" type="whole">
      <formula1>0</formula1>
      <formula2>2200</formula2>
    </dataValidation>
    <dataValidation allowBlank="false" error="Bitte 'Automatisch' oder 'Manuell' wählen." errorStyle="stop" errorTitle="Ungültige Auswahl" operator="between" prompt="Automatisch = RND aus Blatt 09. Manuell = eigene RND in F13." promptTitle="RND-Quelle" showDropDown="false" showErrorMessage="true" showInputMessage="true" sqref="F14" type="list">
      <formula1>"Automatisch,Manuell"</formula1>
      <formula2>0</formula2>
    </dataValidation>
    <dataValidation allowBlank="true" error="Bitte eine Zahl eingeben (keinen Text)." errorStyle="stop" errorTitle="Eingabe ungültig" operator="between" showDropDown="false" showErrorMessage="true" showInputMessage="false" sqref="C6:C9 C18:C20 C23 C25" type="decimal">
      <formula1>-1000000000000</formula1>
      <formula2>1000000000000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H2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5"/>
    <col collapsed="false" customWidth="true" hidden="false" outlineLevel="0" max="2" min="2" style="0" width="46"/>
    <col collapsed="false" customWidth="true" hidden="false" outlineLevel="0" max="5" min="3" style="0" width="18"/>
    <col collapsed="false" customWidth="true" hidden="false" outlineLevel="0" max="8" min="6" style="0" width="14"/>
  </cols>
  <sheetData>
    <row r="2" customFormat="false" ht="30" hidden="false" customHeight="true" outlineLevel="0" collapsed="false">
      <c r="B2" s="1" t="s">
        <v>168</v>
      </c>
      <c r="C2" s="1"/>
      <c r="D2" s="1"/>
      <c r="E2" s="1"/>
      <c r="F2" s="1"/>
      <c r="G2" s="1"/>
      <c r="H2" s="1"/>
    </row>
    <row r="3" customFormat="false" ht="15.75" hidden="false" customHeight="true" outlineLevel="0" collapsed="false">
      <c r="B3" s="2" t="s">
        <v>169</v>
      </c>
      <c r="C3" s="2"/>
      <c r="D3" s="2"/>
      <c r="E3" s="2"/>
      <c r="F3" s="2"/>
      <c r="G3" s="2"/>
      <c r="H3" s="2"/>
    </row>
    <row r="5" customFormat="false" ht="18.75" hidden="false" customHeight="true" outlineLevel="0" collapsed="false">
      <c r="B5" s="4" t="s">
        <v>170</v>
      </c>
      <c r="C5" s="4"/>
      <c r="D5" s="4"/>
      <c r="E5" s="4"/>
      <c r="F5" s="4"/>
      <c r="G5" s="4"/>
      <c r="H5" s="4"/>
    </row>
    <row r="6" customFormat="false" ht="15" hidden="false" customHeight="false" outlineLevel="0" collapsed="false">
      <c r="B6" s="9" t="s">
        <v>171</v>
      </c>
      <c r="C6" s="25" t="n">
        <v>500</v>
      </c>
    </row>
    <row r="7" customFormat="false" ht="15" hidden="false" customHeight="false" outlineLevel="0" collapsed="false">
      <c r="B7" s="9" t="s">
        <v>172</v>
      </c>
      <c r="C7" s="15" t="n">
        <v>650</v>
      </c>
    </row>
    <row r="8" customFormat="false" ht="15" hidden="false" customHeight="false" outlineLevel="0" collapsed="false">
      <c r="B8" s="9" t="s">
        <v>173</v>
      </c>
      <c r="C8" s="17" t="n">
        <v>0.8</v>
      </c>
    </row>
    <row r="9" customFormat="false" ht="15" hidden="false" customHeight="false" outlineLevel="0" collapsed="false">
      <c r="B9" s="9" t="s">
        <v>174</v>
      </c>
      <c r="C9" s="17" t="n">
        <v>1</v>
      </c>
    </row>
    <row r="10" customFormat="false" ht="15" hidden="false" customHeight="false" outlineLevel="0" collapsed="false">
      <c r="B10" s="9" t="s">
        <v>175</v>
      </c>
      <c r="C10" s="26" t="n">
        <v>0.9</v>
      </c>
    </row>
    <row r="11" customFormat="false" ht="15" hidden="false" customHeight="false" outlineLevel="0" collapsed="false">
      <c r="B11" s="9" t="s">
        <v>176</v>
      </c>
      <c r="C11" s="26" t="n">
        <v>1</v>
      </c>
    </row>
    <row r="12" customFormat="false" ht="15" hidden="false" customHeight="false" outlineLevel="0" collapsed="false">
      <c r="B12" s="9" t="s">
        <v>177</v>
      </c>
      <c r="C12" s="21" t="n">
        <f aca="false">C7*C10*C11</f>
        <v>585</v>
      </c>
    </row>
    <row r="13" customFormat="false" ht="15" hidden="false" customHeight="false" outlineLevel="0" collapsed="false">
      <c r="B13" s="5" t="s">
        <v>178</v>
      </c>
      <c r="C13" s="16" t="n">
        <f aca="false">C6*C12</f>
        <v>292500</v>
      </c>
    </row>
    <row r="14" customFormat="false" ht="18.75" hidden="false" customHeight="true" outlineLevel="0" collapsed="false">
      <c r="B14" s="4" t="s">
        <v>114</v>
      </c>
      <c r="C14" s="4"/>
      <c r="D14" s="4"/>
      <c r="E14" s="4"/>
      <c r="F14" s="4"/>
      <c r="G14" s="4"/>
      <c r="H14" s="4"/>
    </row>
    <row r="15" customFormat="false" ht="15" hidden="false" customHeight="false" outlineLevel="0" collapsed="false">
      <c r="B15" s="19" t="s">
        <v>100</v>
      </c>
      <c r="C15" s="22" t="n">
        <f aca="false">C13</f>
        <v>292500</v>
      </c>
    </row>
    <row r="17" customFormat="false" ht="18.75" hidden="false" customHeight="true" outlineLevel="0" collapsed="false">
      <c r="B17" s="4" t="s">
        <v>179</v>
      </c>
      <c r="C17" s="4"/>
      <c r="D17" s="4"/>
      <c r="E17" s="4"/>
      <c r="F17" s="4"/>
      <c r="G17" s="4"/>
      <c r="H17" s="4"/>
    </row>
    <row r="18" customFormat="false" ht="15" hidden="false" customHeight="false" outlineLevel="0" collapsed="false">
      <c r="B18" s="32" t="s">
        <v>180</v>
      </c>
      <c r="C18" s="32" t="s">
        <v>181</v>
      </c>
      <c r="D18" s="32" t="s">
        <v>182</v>
      </c>
      <c r="E18" s="32" t="s">
        <v>183</v>
      </c>
    </row>
    <row r="19" customFormat="false" ht="15" hidden="false" customHeight="false" outlineLevel="0" collapsed="false">
      <c r="B19" s="9" t="s">
        <v>184</v>
      </c>
      <c r="C19" s="15" t="n">
        <v>340000</v>
      </c>
      <c r="D19" s="25" t="n">
        <v>520</v>
      </c>
      <c r="E19" s="21" t="n">
        <f aca="false">C19/D19</f>
        <v>653.846153846154</v>
      </c>
    </row>
    <row r="20" customFormat="false" ht="15" hidden="false" customHeight="false" outlineLevel="0" collapsed="false">
      <c r="B20" s="9" t="s">
        <v>185</v>
      </c>
      <c r="C20" s="15" t="n">
        <v>355000</v>
      </c>
      <c r="D20" s="25" t="n">
        <v>540</v>
      </c>
      <c r="E20" s="21" t="n">
        <f aca="false">C20/D20</f>
        <v>657.407407407407</v>
      </c>
    </row>
    <row r="21" customFormat="false" ht="15" hidden="false" customHeight="false" outlineLevel="0" collapsed="false">
      <c r="B21" s="9" t="s">
        <v>186</v>
      </c>
      <c r="C21" s="15" t="n">
        <v>330000</v>
      </c>
      <c r="D21" s="25" t="n">
        <v>505</v>
      </c>
      <c r="E21" s="21" t="n">
        <f aca="false">C21/D21</f>
        <v>653.465346534654</v>
      </c>
    </row>
    <row r="22" customFormat="false" ht="15" hidden="false" customHeight="false" outlineLevel="0" collapsed="false">
      <c r="B22" s="5" t="s">
        <v>187</v>
      </c>
      <c r="E22" s="16" t="n">
        <f aca="false">AVERAGE(E19:E21)</f>
        <v>654.906302596072</v>
      </c>
    </row>
    <row r="23" customFormat="false" ht="15" hidden="false" customHeight="false" outlineLevel="0" collapsed="false">
      <c r="B23" s="9" t="s">
        <v>188</v>
      </c>
      <c r="C23" s="25" t="n">
        <v>500</v>
      </c>
    </row>
    <row r="24" customFormat="false" ht="15" hidden="false" customHeight="false" outlineLevel="0" collapsed="false">
      <c r="B24" s="19" t="s">
        <v>189</v>
      </c>
      <c r="C24" s="22" t="n">
        <f aca="false">E22*C23</f>
        <v>327453.151298036</v>
      </c>
    </row>
  </sheetData>
  <sheetProtection sheet="true" formatColumns="false" formatRows="false"/>
  <mergeCells count="5">
    <mergeCell ref="B2:H2"/>
    <mergeCell ref="B3:H3"/>
    <mergeCell ref="B5:H5"/>
    <mergeCell ref="B14:H14"/>
    <mergeCell ref="B17:H17"/>
  </mergeCells>
  <dataValidations count="1">
    <dataValidation allowBlank="true" error="Bitte eine Zahl eingeben (keinen Text)." errorStyle="stop" errorTitle="Eingabe ungültig" operator="between" showDropDown="false" showErrorMessage="true" showInputMessage="false" sqref="C6:C11 C19:D21 C23" type="decimal">
      <formula1>-1000000000000</formula1>
      <formula2>1000000000000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H2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5"/>
    <col collapsed="false" customWidth="true" hidden="false" outlineLevel="0" max="2" min="2" style="0" width="48"/>
    <col collapsed="false" customWidth="true" hidden="false" outlineLevel="0" max="5" min="3" style="0" width="18"/>
    <col collapsed="false" customWidth="true" hidden="false" outlineLevel="0" max="8" min="6" style="0" width="14"/>
  </cols>
  <sheetData>
    <row r="2" customFormat="false" ht="30" hidden="false" customHeight="true" outlineLevel="0" collapsed="false">
      <c r="B2" s="1" t="s">
        <v>190</v>
      </c>
      <c r="C2" s="1"/>
      <c r="D2" s="1"/>
      <c r="E2" s="1"/>
      <c r="F2" s="1"/>
      <c r="G2" s="1"/>
      <c r="H2" s="1"/>
    </row>
    <row r="3" customFormat="false" ht="15.75" hidden="false" customHeight="true" outlineLevel="0" collapsed="false">
      <c r="B3" s="2" t="s">
        <v>191</v>
      </c>
      <c r="C3" s="2"/>
      <c r="D3" s="2"/>
      <c r="E3" s="2"/>
      <c r="F3" s="2"/>
      <c r="G3" s="2"/>
      <c r="H3" s="2"/>
    </row>
    <row r="5" customFormat="false" ht="18.75" hidden="false" customHeight="true" outlineLevel="0" collapsed="false">
      <c r="B5" s="4" t="s">
        <v>192</v>
      </c>
      <c r="C5" s="4"/>
      <c r="D5" s="4"/>
      <c r="E5" s="4"/>
      <c r="F5" s="4"/>
      <c r="G5" s="4"/>
      <c r="H5" s="4"/>
    </row>
    <row r="6" customFormat="false" ht="15" hidden="false" customHeight="false" outlineLevel="0" collapsed="false">
      <c r="B6" s="9" t="s">
        <v>193</v>
      </c>
      <c r="C6" s="15" t="n">
        <v>720000</v>
      </c>
    </row>
    <row r="7" customFormat="false" ht="15" hidden="false" customHeight="false" outlineLevel="0" collapsed="false">
      <c r="B7" s="9" t="s">
        <v>194</v>
      </c>
      <c r="C7" s="15" t="n">
        <v>42000</v>
      </c>
    </row>
    <row r="8" customFormat="false" ht="15" hidden="false" customHeight="false" outlineLevel="0" collapsed="false">
      <c r="B8" s="9" t="s">
        <v>100</v>
      </c>
      <c r="C8" s="15" t="n">
        <v>300000</v>
      </c>
    </row>
    <row r="9" customFormat="false" ht="15" hidden="false" customHeight="false" outlineLevel="0" collapsed="false">
      <c r="B9" s="9" t="s">
        <v>102</v>
      </c>
      <c r="C9" s="11" t="n">
        <v>45</v>
      </c>
    </row>
    <row r="10" customFormat="false" ht="15" hidden="false" customHeight="false" outlineLevel="0" collapsed="false">
      <c r="B10" s="9" t="s">
        <v>195</v>
      </c>
      <c r="C10" s="10" t="n">
        <v>0.045</v>
      </c>
    </row>
    <row r="11" customFormat="false" ht="15" hidden="false" customHeight="false" outlineLevel="0" collapsed="false">
      <c r="B11" s="9" t="s">
        <v>131</v>
      </c>
      <c r="C11" s="12" t="n">
        <f aca="false">1+C10</f>
        <v>1.045</v>
      </c>
    </row>
    <row r="12" customFormat="false" ht="15" hidden="false" customHeight="false" outlineLevel="0" collapsed="false">
      <c r="B12" s="9" t="s">
        <v>119</v>
      </c>
      <c r="C12" s="12" t="n">
        <f aca="false">IF(C10=0,C9,(C11^C9-1)/(C11^C9*(C11-1)))</f>
        <v>19.1563474197535</v>
      </c>
    </row>
    <row r="13" customFormat="false" ht="18.75" hidden="false" customHeight="true" outlineLevel="0" collapsed="false">
      <c r="B13" s="4" t="s">
        <v>196</v>
      </c>
      <c r="C13" s="4"/>
      <c r="D13" s="4"/>
      <c r="E13" s="4"/>
      <c r="F13" s="4"/>
      <c r="G13" s="4"/>
      <c r="H13" s="4"/>
    </row>
    <row r="14" customFormat="false" ht="15" hidden="false" customHeight="false" outlineLevel="0" collapsed="false">
      <c r="B14" s="9" t="s">
        <v>197</v>
      </c>
      <c r="C14" s="21" t="n">
        <f aca="false">C7-C8*C10</f>
        <v>28500</v>
      </c>
    </row>
    <row r="15" customFormat="false" ht="15" hidden="false" customHeight="false" outlineLevel="0" collapsed="false">
      <c r="B15" s="9" t="s">
        <v>198</v>
      </c>
      <c r="C15" s="16" t="n">
        <f aca="false">C14*C12+C8</f>
        <v>845955.901462974</v>
      </c>
    </row>
    <row r="16" customFormat="false" ht="15" hidden="false" customHeight="false" outlineLevel="0" collapsed="false">
      <c r="B16" s="5" t="s">
        <v>199</v>
      </c>
      <c r="C16" s="16" t="n">
        <f aca="false">C15-C6</f>
        <v>125955.901462974</v>
      </c>
    </row>
    <row r="17" customFormat="false" ht="18.75" hidden="false" customHeight="true" outlineLevel="0" collapsed="false">
      <c r="B17" s="4" t="s">
        <v>114</v>
      </c>
      <c r="C17" s="4"/>
      <c r="D17" s="4"/>
      <c r="E17" s="4"/>
      <c r="F17" s="4"/>
      <c r="G17" s="4"/>
      <c r="H17" s="4"/>
    </row>
    <row r="18" customFormat="false" ht="15" hidden="false" customHeight="false" outlineLevel="0" collapsed="false">
      <c r="B18" s="19" t="s">
        <v>200</v>
      </c>
      <c r="C18" s="33" t="n">
        <f aca="false">C10</f>
        <v>0.045</v>
      </c>
    </row>
    <row r="20" customFormat="false" ht="15" hidden="false" customHeight="true" outlineLevel="0" collapsed="false">
      <c r="B20" s="8" t="s">
        <v>201</v>
      </c>
      <c r="C20" s="8"/>
      <c r="D20" s="8"/>
      <c r="E20" s="8"/>
      <c r="F20" s="8"/>
      <c r="G20" s="8"/>
      <c r="H20" s="8"/>
    </row>
  </sheetData>
  <sheetProtection sheet="true" formatColumns="false" formatRows="false"/>
  <mergeCells count="6">
    <mergeCell ref="B2:H2"/>
    <mergeCell ref="B3:H3"/>
    <mergeCell ref="B5:H5"/>
    <mergeCell ref="B13:H13"/>
    <mergeCell ref="B17:H17"/>
    <mergeCell ref="B20:H20"/>
  </mergeCells>
  <dataValidations count="3">
    <dataValidation allowBlank="true" error="Bitte einen Dezimalwert zwischen 0 und 1 eingeben (z. B. 0,045 für 4,5 %)." errorStyle="stop" errorTitle="Prozentwert ungültig" operator="between" prompt="Als Dezimalzahl: 0,045 = 4,5 %" promptTitle="Eingabe" showDropDown="false" showErrorMessage="true" showInputMessage="true" sqref="C10" type="decimal">
      <formula1>0</formula1>
      <formula2>1</formula2>
    </dataValidation>
    <dataValidation allowBlank="true" error="Bitte eine ganze Zahl eingeben (z. B. Jahre)." errorStyle="stop" errorTitle="Eingabe ungültig" operator="between" showDropDown="false" showErrorMessage="true" showInputMessage="false" sqref="C9" type="whole">
      <formula1>0</formula1>
      <formula2>2200</formula2>
    </dataValidation>
    <dataValidation allowBlank="true" error="Bitte eine Zahl eingeben (keinen Text)." errorStyle="stop" errorTitle="Eingabe ungültig" operator="between" showDropDown="false" showErrorMessage="true" showInputMessage="false" sqref="C6:C8" type="decimal">
      <formula1>-1000000000000</formula1>
      <formula2>1000000000000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H2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5"/>
    <col collapsed="false" customWidth="true" hidden="false" outlineLevel="0" max="2" min="2" style="0" width="48"/>
    <col collapsed="false" customWidth="true" hidden="false" outlineLevel="0" max="4" min="3" style="0" width="18"/>
    <col collapsed="false" customWidth="true" hidden="false" outlineLevel="0" max="5" min="5" style="0" width="16"/>
    <col collapsed="false" customWidth="true" hidden="false" outlineLevel="0" max="6" min="6" style="0" width="15"/>
    <col collapsed="false" customWidth="true" hidden="false" outlineLevel="0" max="8" min="7" style="0" width="14"/>
  </cols>
  <sheetData>
    <row r="2" customFormat="false" ht="30" hidden="false" customHeight="true" outlineLevel="0" collapsed="false">
      <c r="B2" s="1" t="s">
        <v>202</v>
      </c>
      <c r="C2" s="1"/>
      <c r="D2" s="1"/>
      <c r="E2" s="1"/>
      <c r="F2" s="1"/>
      <c r="G2" s="1"/>
      <c r="H2" s="1"/>
    </row>
    <row r="3" customFormat="false" ht="15.75" hidden="false" customHeight="true" outlineLevel="0" collapsed="false">
      <c r="B3" s="2" t="s">
        <v>19</v>
      </c>
      <c r="C3" s="2"/>
      <c r="D3" s="2"/>
      <c r="E3" s="2"/>
      <c r="F3" s="2"/>
      <c r="G3" s="2"/>
      <c r="H3" s="2"/>
    </row>
    <row r="5" customFormat="false" ht="18.75" hidden="false" customHeight="true" outlineLevel="0" collapsed="false">
      <c r="B5" s="4" t="s">
        <v>203</v>
      </c>
      <c r="C5" s="4"/>
      <c r="D5" s="4"/>
      <c r="E5" s="4"/>
      <c r="F5" s="4"/>
      <c r="G5" s="4"/>
      <c r="H5" s="4"/>
    </row>
    <row r="6" customFormat="false" ht="15" hidden="false" customHeight="false" outlineLevel="0" collapsed="false">
      <c r="B6" s="9" t="s">
        <v>151</v>
      </c>
      <c r="C6" s="11" t="n">
        <v>80</v>
      </c>
    </row>
    <row r="7" customFormat="false" ht="15" hidden="false" customHeight="false" outlineLevel="0" collapsed="false">
      <c r="B7" s="9" t="s">
        <v>204</v>
      </c>
      <c r="C7" s="11" t="n">
        <v>1995</v>
      </c>
    </row>
    <row r="8" customFormat="false" ht="15" hidden="false" customHeight="false" outlineLevel="0" collapsed="false">
      <c r="B8" s="9" t="s">
        <v>205</v>
      </c>
      <c r="C8" s="11" t="n">
        <v>2026</v>
      </c>
    </row>
    <row r="9" customFormat="false" ht="15" hidden="false" customHeight="false" outlineLevel="0" collapsed="false">
      <c r="B9" s="9" t="s">
        <v>206</v>
      </c>
      <c r="C9" s="34" t="n">
        <f aca="false">C8-C7</f>
        <v>31</v>
      </c>
    </row>
    <row r="10" customFormat="false" ht="15" hidden="false" customHeight="false" outlineLevel="0" collapsed="false">
      <c r="B10" s="9" t="s">
        <v>207</v>
      </c>
      <c r="C10" s="15" t="n">
        <v>600000</v>
      </c>
    </row>
    <row r="11" customFormat="false" ht="18.75" hidden="false" customHeight="true" outlineLevel="0" collapsed="false">
      <c r="B11" s="4" t="s">
        <v>208</v>
      </c>
      <c r="C11" s="4"/>
      <c r="D11" s="4"/>
      <c r="E11" s="4"/>
      <c r="F11" s="4"/>
      <c r="G11" s="4"/>
      <c r="H11" s="4"/>
    </row>
    <row r="12" customFormat="false" ht="15" hidden="false" customHeight="false" outlineLevel="0" collapsed="false">
      <c r="B12" s="9" t="s">
        <v>209</v>
      </c>
      <c r="C12" s="34" t="n">
        <f aca="false">MAX(C6-C9,0)</f>
        <v>49</v>
      </c>
    </row>
    <row r="13" customFormat="false" ht="15" hidden="false" customHeight="false" outlineLevel="0" collapsed="false">
      <c r="B13" s="9" t="s">
        <v>210</v>
      </c>
      <c r="C13" s="30" t="n">
        <f aca="false">C9/C6</f>
        <v>0.3875</v>
      </c>
    </row>
    <row r="14" customFormat="false" ht="15" hidden="false" customHeight="false" outlineLevel="0" collapsed="false">
      <c r="B14" s="9" t="s">
        <v>211</v>
      </c>
      <c r="C14" s="21" t="n">
        <f aca="false">-C10*C9/C6</f>
        <v>-232500</v>
      </c>
    </row>
    <row r="15" customFormat="false" ht="15" hidden="false" customHeight="false" outlineLevel="0" collapsed="false">
      <c r="B15" s="5" t="s">
        <v>212</v>
      </c>
      <c r="C15" s="16" t="n">
        <f aca="false">C10*(1-C9/C6)</f>
        <v>367500</v>
      </c>
    </row>
    <row r="16" customFormat="false" ht="18.75" hidden="false" customHeight="true" outlineLevel="0" collapsed="false">
      <c r="B16" s="4" t="s">
        <v>213</v>
      </c>
      <c r="C16" s="4"/>
      <c r="D16" s="4"/>
      <c r="E16" s="4"/>
      <c r="F16" s="4"/>
      <c r="G16" s="4"/>
      <c r="H16" s="4"/>
    </row>
    <row r="17" customFormat="false" ht="15" hidden="false" customHeight="false" outlineLevel="0" collapsed="false">
      <c r="B17" s="9" t="s">
        <v>214</v>
      </c>
      <c r="C17" s="30" t="n">
        <f aca="false">0.5*((C9/C6)+(C9/C6)^2)</f>
        <v>0.268828125</v>
      </c>
    </row>
    <row r="18" customFormat="false" ht="15" hidden="false" customHeight="false" outlineLevel="0" collapsed="false">
      <c r="B18" s="5" t="s">
        <v>215</v>
      </c>
      <c r="C18" s="16" t="n">
        <f aca="false">C10*(1-0.5*((C9/C6)+(C9/C6)^2))</f>
        <v>438703.125</v>
      </c>
    </row>
    <row r="19" customFormat="false" ht="18.75" hidden="false" customHeight="true" outlineLevel="0" collapsed="false">
      <c r="B19" s="4" t="s">
        <v>216</v>
      </c>
      <c r="C19" s="4"/>
      <c r="D19" s="4"/>
      <c r="E19" s="4"/>
      <c r="F19" s="4"/>
      <c r="G19" s="4"/>
      <c r="H19" s="4"/>
    </row>
    <row r="20" customFormat="false" ht="15" hidden="false" customHeight="false" outlineLevel="0" collapsed="false">
      <c r="B20" s="9" t="s">
        <v>217</v>
      </c>
      <c r="C20" s="27" t="n">
        <f aca="false">IF($F$21="Automatisch",ROUND('09 Modernisierungspunkte'!$C$30,0),$F$20)</f>
        <v>50</v>
      </c>
      <c r="E20" s="28" t="s">
        <v>153</v>
      </c>
      <c r="F20" s="29" t="n">
        <v>55</v>
      </c>
    </row>
    <row r="21" customFormat="false" ht="15" hidden="false" customHeight="false" outlineLevel="0" collapsed="false">
      <c r="B21" s="9" t="s">
        <v>218</v>
      </c>
      <c r="C21" s="34" t="n">
        <f aca="false">C6-C20</f>
        <v>30</v>
      </c>
      <c r="E21" s="28" t="s">
        <v>155</v>
      </c>
      <c r="F21" s="31" t="s">
        <v>156</v>
      </c>
    </row>
    <row r="22" customFormat="false" ht="15" hidden="false" customHeight="false" outlineLevel="0" collapsed="false">
      <c r="B22" s="9" t="s">
        <v>219</v>
      </c>
      <c r="C22" s="30" t="n">
        <f aca="false">C21/C6</f>
        <v>0.375</v>
      </c>
    </row>
    <row r="23" customFormat="false" ht="15" hidden="false" customHeight="false" outlineLevel="0" collapsed="false">
      <c r="B23" s="19" t="s">
        <v>220</v>
      </c>
      <c r="C23" s="22" t="n">
        <f aca="false">C10*(1-C21/C6)</f>
        <v>375000</v>
      </c>
    </row>
    <row r="25" customFormat="false" ht="19.4" hidden="false" customHeight="true" outlineLevel="0" collapsed="false">
      <c r="B25" s="8" t="s">
        <v>221</v>
      </c>
      <c r="C25" s="8"/>
      <c r="D25" s="8"/>
      <c r="E25" s="8"/>
      <c r="F25" s="8"/>
      <c r="G25" s="8"/>
      <c r="H25" s="8"/>
    </row>
  </sheetData>
  <sheetProtection sheet="true" formatColumns="false" formatRows="false"/>
  <mergeCells count="7">
    <mergeCell ref="B2:H2"/>
    <mergeCell ref="B3:H3"/>
    <mergeCell ref="B5:H5"/>
    <mergeCell ref="B11:H11"/>
    <mergeCell ref="B16:H16"/>
    <mergeCell ref="B19:H19"/>
    <mergeCell ref="B25:H25"/>
  </mergeCells>
  <dataValidations count="3">
    <dataValidation allowBlank="true" error="Bitte eine ganze Zahl eingeben (z. B. Jahre)." errorStyle="stop" errorTitle="Eingabe ungültig" operator="between" showDropDown="false" showErrorMessage="true" showInputMessage="false" sqref="C6:C8 F20" type="whole">
      <formula1>0</formula1>
      <formula2>2200</formula2>
    </dataValidation>
    <dataValidation allowBlank="false" error="Bitte 'Automatisch' oder 'Manuell' wählen." errorStyle="stop" errorTitle="Ungültige Auswahl" operator="between" prompt="Automatisch = RND aus Blatt 09. Manuell = eigene RND in F20." promptTitle="RND-Quelle" showDropDown="false" showErrorMessage="true" showInputMessage="true" sqref="F21" type="list">
      <formula1>"Automatisch,Manuell"</formula1>
      <formula2>0</formula2>
    </dataValidation>
    <dataValidation allowBlank="true" error="Bitte eine Zahl eingeben (keinen Text)." errorStyle="stop" errorTitle="Eingabe ungültig" operator="between" showDropDown="false" showErrorMessage="true" showInputMessage="false" sqref="C10" type="decimal">
      <formula1>-1000000000000</formula1>
      <formula2>1000000000000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H3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5"/>
    <col collapsed="false" customWidth="true" hidden="false" outlineLevel="0" max="2" min="2" style="0" width="56"/>
    <col collapsed="false" customWidth="true" hidden="false" outlineLevel="0" max="4" min="3" style="0" width="14"/>
    <col collapsed="false" customWidth="true" hidden="false" outlineLevel="0" max="5" min="5" style="0" width="18"/>
    <col collapsed="false" customWidth="true" hidden="false" outlineLevel="0" max="8" min="6" style="0" width="14"/>
  </cols>
  <sheetData>
    <row r="2" customFormat="false" ht="30" hidden="false" customHeight="true" outlineLevel="0" collapsed="false">
      <c r="B2" s="1" t="s">
        <v>222</v>
      </c>
      <c r="C2" s="1"/>
      <c r="D2" s="1"/>
      <c r="E2" s="1"/>
      <c r="F2" s="1"/>
      <c r="G2" s="1"/>
      <c r="H2" s="1"/>
    </row>
    <row r="3" customFormat="false" ht="15.75" hidden="false" customHeight="true" outlineLevel="0" collapsed="false">
      <c r="B3" s="2" t="s">
        <v>223</v>
      </c>
      <c r="C3" s="2"/>
      <c r="D3" s="2"/>
      <c r="E3" s="2"/>
      <c r="F3" s="2"/>
      <c r="G3" s="2"/>
      <c r="H3" s="2"/>
    </row>
    <row r="5" customFormat="false" ht="18.75" hidden="false" customHeight="true" outlineLevel="0" collapsed="false">
      <c r="B5" s="4" t="s">
        <v>203</v>
      </c>
      <c r="C5" s="4"/>
      <c r="D5" s="4"/>
      <c r="E5" s="4"/>
      <c r="F5" s="4"/>
      <c r="G5" s="4"/>
      <c r="H5" s="4"/>
    </row>
    <row r="6" customFormat="false" ht="15" hidden="false" customHeight="false" outlineLevel="0" collapsed="false">
      <c r="B6" s="9" t="s">
        <v>151</v>
      </c>
      <c r="C6" s="11" t="n">
        <v>80</v>
      </c>
    </row>
    <row r="7" customFormat="false" ht="15" hidden="false" customHeight="false" outlineLevel="0" collapsed="false">
      <c r="B7" s="9" t="s">
        <v>224</v>
      </c>
      <c r="C7" s="11" t="n">
        <v>40</v>
      </c>
    </row>
    <row r="9" customFormat="false" ht="18.75" hidden="false" customHeight="true" outlineLevel="0" collapsed="false">
      <c r="B9" s="4" t="s">
        <v>225</v>
      </c>
      <c r="C9" s="4"/>
      <c r="D9" s="4"/>
      <c r="E9" s="4"/>
      <c r="F9" s="4"/>
      <c r="G9" s="4"/>
      <c r="H9" s="4"/>
    </row>
    <row r="10" customFormat="false" ht="15" hidden="false" customHeight="false" outlineLevel="0" collapsed="false">
      <c r="B10" s="32" t="s">
        <v>226</v>
      </c>
      <c r="C10" s="32" t="s">
        <v>227</v>
      </c>
      <c r="D10" s="32" t="s">
        <v>228</v>
      </c>
    </row>
    <row r="11" customFormat="false" ht="15" hidden="false" customHeight="false" outlineLevel="0" collapsed="false">
      <c r="B11" s="35" t="s">
        <v>229</v>
      </c>
      <c r="C11" s="36" t="n">
        <v>4</v>
      </c>
      <c r="D11" s="37" t="n">
        <v>4</v>
      </c>
    </row>
    <row r="12" customFormat="false" ht="15" hidden="false" customHeight="false" outlineLevel="0" collapsed="false">
      <c r="B12" s="35" t="s">
        <v>230</v>
      </c>
      <c r="C12" s="36" t="n">
        <v>2</v>
      </c>
      <c r="D12" s="37" t="n">
        <v>2</v>
      </c>
    </row>
    <row r="13" customFormat="false" ht="15" hidden="false" customHeight="false" outlineLevel="0" collapsed="false">
      <c r="B13" s="35" t="s">
        <v>231</v>
      </c>
      <c r="C13" s="36" t="n">
        <v>2</v>
      </c>
      <c r="D13" s="37" t="n">
        <v>1</v>
      </c>
    </row>
    <row r="14" customFormat="false" ht="15" hidden="false" customHeight="false" outlineLevel="0" collapsed="false">
      <c r="B14" s="35" t="s">
        <v>232</v>
      </c>
      <c r="C14" s="36" t="n">
        <v>2</v>
      </c>
      <c r="D14" s="37" t="n">
        <v>2</v>
      </c>
    </row>
    <row r="15" customFormat="false" ht="15" hidden="false" customHeight="false" outlineLevel="0" collapsed="false">
      <c r="B15" s="35" t="s">
        <v>233</v>
      </c>
      <c r="C15" s="36" t="n">
        <v>4</v>
      </c>
      <c r="D15" s="37" t="n">
        <v>2</v>
      </c>
    </row>
    <row r="16" customFormat="false" ht="15" hidden="false" customHeight="false" outlineLevel="0" collapsed="false">
      <c r="B16" s="35" t="s">
        <v>234</v>
      </c>
      <c r="C16" s="36" t="n">
        <v>2</v>
      </c>
      <c r="D16" s="37" t="n">
        <v>1</v>
      </c>
    </row>
    <row r="17" customFormat="false" ht="15" hidden="false" customHeight="false" outlineLevel="0" collapsed="false">
      <c r="B17" s="35" t="s">
        <v>235</v>
      </c>
      <c r="C17" s="36" t="n">
        <v>2</v>
      </c>
      <c r="D17" s="37" t="n">
        <v>1</v>
      </c>
    </row>
    <row r="18" customFormat="false" ht="15" hidden="false" customHeight="false" outlineLevel="0" collapsed="false">
      <c r="B18" s="35" t="s">
        <v>236</v>
      </c>
      <c r="C18" s="36" t="n">
        <v>2</v>
      </c>
      <c r="D18" s="37" t="n">
        <v>0</v>
      </c>
    </row>
    <row r="19" customFormat="false" ht="15" hidden="false" customHeight="false" outlineLevel="0" collapsed="false">
      <c r="B19" s="5" t="s">
        <v>237</v>
      </c>
      <c r="C19" s="38" t="n">
        <f aca="false">SUM(C11:C18)</f>
        <v>20</v>
      </c>
      <c r="D19" s="38" t="n">
        <f aca="false">SUM(D11:D18)</f>
        <v>13</v>
      </c>
    </row>
    <row r="21" customFormat="false" ht="18.75" hidden="false" customHeight="true" outlineLevel="0" collapsed="false">
      <c r="B21" s="4" t="s">
        <v>238</v>
      </c>
      <c r="C21" s="4"/>
      <c r="D21" s="4"/>
      <c r="E21" s="4"/>
      <c r="F21" s="4"/>
      <c r="G21" s="4"/>
      <c r="H21" s="4"/>
    </row>
    <row r="22" customFormat="false" ht="15" hidden="false" customHeight="false" outlineLevel="0" collapsed="false">
      <c r="B22" s="9" t="s">
        <v>239</v>
      </c>
      <c r="C22" s="18" t="n">
        <f aca="false">D19</f>
        <v>13</v>
      </c>
    </row>
    <row r="23" customFormat="false" ht="15" hidden="false" customHeight="false" outlineLevel="0" collapsed="false">
      <c r="B23" s="5" t="s">
        <v>240</v>
      </c>
      <c r="C23" s="39" t="str">
        <f aca="false">IF(D19&lt;=1,"nicht modernisiert (0-1 P)",IF(D19&lt;=5,"kleine Modernisierungen (2-5 P)",IF(D19&lt;=10,"mittlerer Modernisierungsgrad (6-10 P)",IF(D19&lt;=14,"überwiegend modernisiert (11-14 P)","umfassend modernisiert / kernsaniert (15-20 P)"))))</f>
        <v>überwiegend modernisiert (11-14 P)</v>
      </c>
      <c r="D23" s="39"/>
      <c r="E23" s="39"/>
      <c r="F23" s="39"/>
    </row>
    <row r="25" customFormat="false" ht="18.75" hidden="false" customHeight="true" outlineLevel="0" collapsed="false">
      <c r="B25" s="4" t="s">
        <v>241</v>
      </c>
      <c r="C25" s="4"/>
      <c r="D25" s="4"/>
      <c r="E25" s="4"/>
      <c r="F25" s="4"/>
      <c r="G25" s="4"/>
      <c r="H25" s="4"/>
    </row>
    <row r="26" customFormat="false" ht="15" hidden="false" customHeight="false" outlineLevel="0" collapsed="false">
      <c r="B26" s="9" t="s">
        <v>242</v>
      </c>
      <c r="C26" s="34" t="n">
        <f aca="false">MAX(C6-C7,0)</f>
        <v>40</v>
      </c>
    </row>
    <row r="27" customFormat="false" ht="15" hidden="false" customHeight="false" outlineLevel="0" collapsed="false">
      <c r="B27" s="9" t="s">
        <v>243</v>
      </c>
      <c r="C27" s="11" t="n">
        <v>0</v>
      </c>
    </row>
    <row r="28" customFormat="false" ht="15" hidden="false" customHeight="false" outlineLevel="0" collapsed="false">
      <c r="B28" s="9" t="s">
        <v>244</v>
      </c>
      <c r="C28" s="11" t="n">
        <f aca="false">ROUND(0.7*C6,0)</f>
        <v>56</v>
      </c>
    </row>
    <row r="29" customFormat="false" ht="15" hidden="false" customHeight="false" outlineLevel="0" collapsed="false">
      <c r="B29" s="9" t="s">
        <v>245</v>
      </c>
      <c r="C29" s="30" t="n">
        <f aca="false">D19/20</f>
        <v>0.65</v>
      </c>
    </row>
    <row r="30" customFormat="false" ht="15" hidden="false" customHeight="false" outlineLevel="0" collapsed="false">
      <c r="B30" s="19" t="s">
        <v>246</v>
      </c>
      <c r="C30" s="40" t="n">
        <f aca="false">MAX(C27,C26,C26+(D19/20)*(C28-C26))</f>
        <v>50.4</v>
      </c>
    </row>
    <row r="32" customFormat="false" ht="19.4" hidden="false" customHeight="true" outlineLevel="0" collapsed="false">
      <c r="B32" s="8" t="s">
        <v>247</v>
      </c>
      <c r="C32" s="8"/>
      <c r="D32" s="8"/>
      <c r="E32" s="8"/>
      <c r="F32" s="8"/>
      <c r="G32" s="8"/>
      <c r="H32" s="8"/>
    </row>
  </sheetData>
  <sheetProtection sheet="true" formatColumns="false" formatRows="false"/>
  <mergeCells count="8">
    <mergeCell ref="B2:H2"/>
    <mergeCell ref="B3:H3"/>
    <mergeCell ref="B5:H5"/>
    <mergeCell ref="B9:H9"/>
    <mergeCell ref="B21:H21"/>
    <mergeCell ref="C23:F23"/>
    <mergeCell ref="B25:H25"/>
    <mergeCell ref="B32:H32"/>
  </mergeCells>
  <dataValidations count="9">
    <dataValidation allowBlank="true" error="Bitte eine ganze Zahl eingeben (z. B. Jahre)." errorStyle="stop" errorTitle="Eingabe ungültig" operator="between" showDropDown="false" showErrorMessage="true" showInputMessage="false" sqref="C6:C7 C27:C28" type="whole">
      <formula1>0</formula1>
      <formula2>2200</formula2>
    </dataValidation>
    <dataValidation allowBlank="true" error="Nur ganze Punkte zwischen 0 und dem Maximum dieser Zeile zulässig." errorStyle="stop" errorTitle="Punkte ungültig" operator="between" prompt="Erreichte Punkte (0 bis Maximum der Zeile)." promptTitle="Modernisierungspunkte" showDropDown="false" showErrorMessage="true" showInputMessage="true" sqref="D11" type="whole">
      <formula1>0</formula1>
      <formula2>C11</formula2>
    </dataValidation>
    <dataValidation allowBlank="true" error="Nur ganze Punkte zwischen 0 und dem Maximum dieser Zeile zulässig." errorStyle="stop" errorTitle="Punkte ungültig" operator="between" prompt="Erreichte Punkte (0 bis Maximum der Zeile)." promptTitle="Modernisierungspunkte" showDropDown="false" showErrorMessage="true" showInputMessage="true" sqref="D12" type="whole">
      <formula1>0</formula1>
      <formula2>C12</formula2>
    </dataValidation>
    <dataValidation allowBlank="true" error="Nur ganze Punkte zwischen 0 und dem Maximum dieser Zeile zulässig." errorStyle="stop" errorTitle="Punkte ungültig" operator="between" prompt="Erreichte Punkte (0 bis Maximum der Zeile)." promptTitle="Modernisierungspunkte" showDropDown="false" showErrorMessage="true" showInputMessage="true" sqref="D13" type="whole">
      <formula1>0</formula1>
      <formula2>C13</formula2>
    </dataValidation>
    <dataValidation allowBlank="true" error="Nur ganze Punkte zwischen 0 und dem Maximum dieser Zeile zulässig." errorStyle="stop" errorTitle="Punkte ungültig" operator="between" prompt="Erreichte Punkte (0 bis Maximum der Zeile)." promptTitle="Modernisierungspunkte" showDropDown="false" showErrorMessage="true" showInputMessage="true" sqref="D14" type="whole">
      <formula1>0</formula1>
      <formula2>C14</formula2>
    </dataValidation>
    <dataValidation allowBlank="true" error="Nur ganze Punkte zwischen 0 und dem Maximum dieser Zeile zulässig." errorStyle="stop" errorTitle="Punkte ungültig" operator="between" prompt="Erreichte Punkte (0 bis Maximum der Zeile)." promptTitle="Modernisierungspunkte" showDropDown="false" showErrorMessage="true" showInputMessage="true" sqref="D15" type="whole">
      <formula1>0</formula1>
      <formula2>C15</formula2>
    </dataValidation>
    <dataValidation allowBlank="true" error="Nur ganze Punkte zwischen 0 und dem Maximum dieser Zeile zulässig." errorStyle="stop" errorTitle="Punkte ungültig" operator="between" prompt="Erreichte Punkte (0 bis Maximum der Zeile)." promptTitle="Modernisierungspunkte" showDropDown="false" showErrorMessage="true" showInputMessage="true" sqref="D16" type="whole">
      <formula1>0</formula1>
      <formula2>C16</formula2>
    </dataValidation>
    <dataValidation allowBlank="true" error="Nur ganze Punkte zwischen 0 und dem Maximum dieser Zeile zulässig." errorStyle="stop" errorTitle="Punkte ungültig" operator="between" prompt="Erreichte Punkte (0 bis Maximum der Zeile)." promptTitle="Modernisierungspunkte" showDropDown="false" showErrorMessage="true" showInputMessage="true" sqref="D17" type="whole">
      <formula1>0</formula1>
      <formula2>C17</formula2>
    </dataValidation>
    <dataValidation allowBlank="true" error="Nur ganze Punkte zwischen 0 und dem Maximum dieser Zeile zulässig." errorStyle="stop" errorTitle="Punkte ungültig" operator="between" prompt="Erreichte Punkte (0 bis Maximum der Zeile)." promptTitle="Modernisierungspunkte" showDropDown="false" showErrorMessage="true" showInputMessage="true" sqref="D18" type="whole">
      <formula1>0</formula1>
      <formula2>C18</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H1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5"/>
    <col collapsed="false" customWidth="true" hidden="false" outlineLevel="0" max="2" min="2" style="0" width="46"/>
    <col collapsed="false" customWidth="true" hidden="false" outlineLevel="0" max="5" min="3" style="0" width="18"/>
    <col collapsed="false" customWidth="true" hidden="false" outlineLevel="0" max="8" min="6" style="0" width="14"/>
  </cols>
  <sheetData>
    <row r="2" customFormat="false" ht="30" hidden="false" customHeight="true" outlineLevel="0" collapsed="false">
      <c r="B2" s="1" t="s">
        <v>248</v>
      </c>
      <c r="C2" s="1"/>
      <c r="D2" s="1"/>
      <c r="E2" s="1"/>
      <c r="F2" s="1"/>
      <c r="G2" s="1"/>
      <c r="H2" s="1"/>
    </row>
    <row r="3" customFormat="false" ht="15.75" hidden="false" customHeight="true" outlineLevel="0" collapsed="false">
      <c r="B3" s="2" t="s">
        <v>249</v>
      </c>
      <c r="C3" s="2"/>
      <c r="D3" s="2"/>
      <c r="E3" s="2"/>
      <c r="F3" s="2"/>
      <c r="G3" s="2"/>
      <c r="H3" s="2"/>
    </row>
    <row r="5" customFormat="false" ht="18.75" hidden="false" customHeight="true" outlineLevel="0" collapsed="false">
      <c r="B5" s="4" t="s">
        <v>250</v>
      </c>
      <c r="C5" s="4"/>
      <c r="D5" s="4"/>
      <c r="E5" s="4"/>
      <c r="F5" s="4"/>
      <c r="G5" s="4"/>
      <c r="H5" s="4"/>
    </row>
    <row r="6" customFormat="false" ht="15" hidden="false" customHeight="false" outlineLevel="0" collapsed="false">
      <c r="B6" s="9" t="s">
        <v>251</v>
      </c>
      <c r="C6" s="15" t="n">
        <v>60000</v>
      </c>
    </row>
    <row r="7" customFormat="false" ht="15" hidden="false" customHeight="false" outlineLevel="0" collapsed="false">
      <c r="B7" s="9" t="s">
        <v>252</v>
      </c>
      <c r="C7" s="25" t="n">
        <v>500</v>
      </c>
    </row>
    <row r="8" customFormat="false" ht="18.75" hidden="false" customHeight="true" outlineLevel="0" collapsed="false">
      <c r="B8" s="4" t="s">
        <v>253</v>
      </c>
      <c r="C8" s="4"/>
      <c r="D8" s="4"/>
      <c r="E8" s="4"/>
      <c r="F8" s="4"/>
      <c r="G8" s="4"/>
      <c r="H8" s="4"/>
    </row>
    <row r="9" customFormat="false" ht="15" hidden="false" customHeight="false" outlineLevel="0" collapsed="false">
      <c r="B9" s="32" t="s">
        <v>254</v>
      </c>
      <c r="C9" s="32" t="s">
        <v>255</v>
      </c>
      <c r="D9" s="32" t="s">
        <v>256</v>
      </c>
    </row>
    <row r="10" customFormat="false" ht="15" hidden="false" customHeight="false" outlineLevel="0" collapsed="false">
      <c r="B10" s="9" t="s">
        <v>257</v>
      </c>
      <c r="C10" s="41" t="n">
        <v>0.03</v>
      </c>
      <c r="D10" s="21" t="n">
        <f aca="false">$C$6*C10</f>
        <v>1800</v>
      </c>
    </row>
    <row r="11" customFormat="false" ht="15" hidden="false" customHeight="false" outlineLevel="0" collapsed="false">
      <c r="B11" s="9" t="s">
        <v>258</v>
      </c>
      <c r="C11" s="41" t="n">
        <v>0.08</v>
      </c>
      <c r="D11" s="21" t="n">
        <f aca="false">$C$6*C11</f>
        <v>4800</v>
      </c>
    </row>
    <row r="12" customFormat="false" ht="15" hidden="false" customHeight="false" outlineLevel="0" collapsed="false">
      <c r="B12" s="9" t="s">
        <v>259</v>
      </c>
      <c r="C12" s="41" t="n">
        <v>0.02</v>
      </c>
      <c r="D12" s="21" t="n">
        <f aca="false">$C$6*C12</f>
        <v>1200</v>
      </c>
    </row>
    <row r="13" customFormat="false" ht="15" hidden="false" customHeight="false" outlineLevel="0" collapsed="false">
      <c r="B13" s="9" t="s">
        <v>260</v>
      </c>
      <c r="C13" s="41" t="n">
        <v>0.01</v>
      </c>
      <c r="D13" s="21" t="n">
        <f aca="false">$C$6*C13</f>
        <v>600</v>
      </c>
    </row>
    <row r="14" customFormat="false" ht="15" hidden="false" customHeight="false" outlineLevel="0" collapsed="false">
      <c r="B14" s="5" t="s">
        <v>261</v>
      </c>
      <c r="C14" s="42" t="n">
        <f aca="false">SUM(C10:C13)</f>
        <v>0.14</v>
      </c>
      <c r="D14" s="16" t="n">
        <f aca="false">SUM(D10:D13)</f>
        <v>8400</v>
      </c>
    </row>
    <row r="15" customFormat="false" ht="18.75" hidden="false" customHeight="true" outlineLevel="0" collapsed="false">
      <c r="B15" s="4" t="s">
        <v>114</v>
      </c>
      <c r="C15" s="4"/>
      <c r="D15" s="4"/>
      <c r="E15" s="4"/>
      <c r="F15" s="4"/>
      <c r="G15" s="4"/>
      <c r="H15" s="4"/>
    </row>
    <row r="16" customFormat="false" ht="15" hidden="false" customHeight="false" outlineLevel="0" collapsed="false">
      <c r="B16" s="19" t="s">
        <v>262</v>
      </c>
      <c r="C16" s="22" t="n">
        <f aca="false">C6-D14</f>
        <v>51600</v>
      </c>
    </row>
    <row r="18" customFormat="false" ht="19.4" hidden="false" customHeight="true" outlineLevel="0" collapsed="false">
      <c r="B18" s="8" t="s">
        <v>263</v>
      </c>
      <c r="C18" s="8"/>
      <c r="D18" s="8"/>
      <c r="E18" s="8"/>
      <c r="F18" s="8"/>
      <c r="G18" s="8"/>
      <c r="H18" s="8"/>
    </row>
  </sheetData>
  <sheetProtection sheet="true" formatColumns="false" formatRows="false"/>
  <mergeCells count="6">
    <mergeCell ref="B2:H2"/>
    <mergeCell ref="B3:H3"/>
    <mergeCell ref="B5:H5"/>
    <mergeCell ref="B8:H8"/>
    <mergeCell ref="B15:H15"/>
    <mergeCell ref="B18:H18"/>
  </mergeCells>
  <dataValidations count="2">
    <dataValidation allowBlank="true" error="Bitte einen Dezimalwert zwischen 0 und 1 eingeben (z. B. 0,045 für 4,5 %)." errorStyle="stop" errorTitle="Prozentwert ungültig" operator="between" prompt="Als Dezimalzahl: 0,045 = 4,5 %" promptTitle="Eingabe" showDropDown="false" showErrorMessage="true" showInputMessage="true" sqref="C10:C13" type="decimal">
      <formula1>0</formula1>
      <formula2>1</formula2>
    </dataValidation>
    <dataValidation allowBlank="true" error="Bitte eine Zahl eingeben (keinen Text)." errorStyle="stop" errorTitle="Eingabe ungültig" operator="between" showDropDown="false" showErrorMessage="true" showInputMessage="false" sqref="C6:C7" type="decimal">
      <formula1>-1000000000000</formula1>
      <formula2>1000000000000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H3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5"/>
    <col collapsed="false" customWidth="true" hidden="false" outlineLevel="0" max="2" min="2" style="0" width="48"/>
    <col collapsed="false" customWidth="true" hidden="false" outlineLevel="0" max="5" min="3" style="0" width="18"/>
    <col collapsed="false" customWidth="true" hidden="false" outlineLevel="0" max="8" min="6" style="0" width="14"/>
  </cols>
  <sheetData>
    <row r="2" customFormat="false" ht="30" hidden="false" customHeight="true" outlineLevel="0" collapsed="false">
      <c r="B2" s="1" t="s">
        <v>264</v>
      </c>
      <c r="C2" s="1"/>
      <c r="D2" s="1"/>
      <c r="E2" s="1"/>
      <c r="F2" s="1"/>
      <c r="G2" s="1"/>
      <c r="H2" s="1"/>
    </row>
    <row r="3" customFormat="false" ht="15.75" hidden="false" customHeight="true" outlineLevel="0" collapsed="false">
      <c r="B3" s="2" t="s">
        <v>265</v>
      </c>
      <c r="C3" s="2"/>
      <c r="D3" s="2"/>
      <c r="E3" s="2"/>
      <c r="F3" s="2"/>
      <c r="G3" s="2"/>
      <c r="H3" s="2"/>
    </row>
    <row r="5" customFormat="false" ht="18.75" hidden="false" customHeight="true" outlineLevel="0" collapsed="false">
      <c r="B5" s="4" t="s">
        <v>266</v>
      </c>
      <c r="C5" s="4"/>
      <c r="D5" s="4"/>
      <c r="E5" s="4"/>
      <c r="F5" s="4"/>
      <c r="G5" s="4"/>
      <c r="H5" s="4"/>
    </row>
    <row r="6" customFormat="false" ht="15" hidden="false" customHeight="false" outlineLevel="0" collapsed="false">
      <c r="B6" s="9" t="s">
        <v>267</v>
      </c>
      <c r="C6" s="15" t="n">
        <v>300000</v>
      </c>
    </row>
    <row r="7" customFormat="false" ht="15" hidden="false" customHeight="false" outlineLevel="0" collapsed="false">
      <c r="B7" s="9" t="s">
        <v>268</v>
      </c>
      <c r="C7" s="15" t="n">
        <v>45000</v>
      </c>
    </row>
    <row r="8" customFormat="false" ht="15" hidden="false" customHeight="false" outlineLevel="0" collapsed="false">
      <c r="B8" s="5" t="s">
        <v>269</v>
      </c>
      <c r="C8" s="16" t="n">
        <f aca="false">C6-C7</f>
        <v>255000</v>
      </c>
    </row>
    <row r="9" customFormat="false" ht="18.75" hidden="false" customHeight="true" outlineLevel="0" collapsed="false">
      <c r="B9" s="4" t="s">
        <v>270</v>
      </c>
      <c r="C9" s="4"/>
      <c r="D9" s="4"/>
      <c r="E9" s="4"/>
      <c r="F9" s="4"/>
      <c r="G9" s="4"/>
      <c r="H9" s="4"/>
    </row>
    <row r="10" customFormat="false" ht="15" hidden="false" customHeight="false" outlineLevel="0" collapsed="false">
      <c r="B10" s="9" t="s">
        <v>271</v>
      </c>
      <c r="C10" s="11" t="n">
        <v>8</v>
      </c>
    </row>
    <row r="11" customFormat="false" ht="15" hidden="false" customHeight="false" outlineLevel="0" collapsed="false">
      <c r="B11" s="9" t="s">
        <v>272</v>
      </c>
      <c r="C11" s="10" t="n">
        <v>0.05</v>
      </c>
    </row>
    <row r="12" customFormat="false" ht="15" hidden="false" customHeight="false" outlineLevel="0" collapsed="false">
      <c r="B12" s="9" t="s">
        <v>131</v>
      </c>
      <c r="C12" s="12" t="n">
        <f aca="false">1+C11</f>
        <v>1.05</v>
      </c>
    </row>
    <row r="13" customFormat="false" ht="15" hidden="false" customHeight="false" outlineLevel="0" collapsed="false">
      <c r="B13" s="9" t="s">
        <v>62</v>
      </c>
      <c r="C13" s="12" t="n">
        <f aca="false">1/C12^C10</f>
        <v>0.676839362028687</v>
      </c>
    </row>
    <row r="14" customFormat="false" ht="15" hidden="false" customHeight="false" outlineLevel="0" collapsed="false">
      <c r="B14" s="9" t="s">
        <v>273</v>
      </c>
      <c r="C14" s="21" t="n">
        <f aca="false">C6*C13</f>
        <v>203051.808608606</v>
      </c>
    </row>
    <row r="15" customFormat="false" ht="15" hidden="false" customHeight="false" outlineLevel="0" collapsed="false">
      <c r="B15" s="9" t="s">
        <v>274</v>
      </c>
      <c r="C15" s="21" t="n">
        <f aca="false">-C7*C13</f>
        <v>-30457.7712912909</v>
      </c>
    </row>
    <row r="16" customFormat="false" ht="15" hidden="false" customHeight="false" outlineLevel="0" collapsed="false">
      <c r="B16" s="5" t="s">
        <v>275</v>
      </c>
      <c r="C16" s="16" t="n">
        <f aca="false">(C6-C7)*C13</f>
        <v>172594.037317315</v>
      </c>
    </row>
    <row r="17" customFormat="false" ht="18.75" hidden="false" customHeight="true" outlineLevel="0" collapsed="false">
      <c r="B17" s="4" t="s">
        <v>276</v>
      </c>
      <c r="C17" s="4"/>
      <c r="D17" s="4"/>
      <c r="E17" s="4"/>
      <c r="F17" s="4"/>
      <c r="G17" s="4"/>
      <c r="H17" s="4"/>
    </row>
    <row r="18" customFormat="false" ht="15" hidden="false" customHeight="false" outlineLevel="0" collapsed="false">
      <c r="B18" s="9" t="s">
        <v>277</v>
      </c>
      <c r="C18" s="15" t="n">
        <v>18000</v>
      </c>
    </row>
    <row r="19" customFormat="false" ht="15" hidden="false" customHeight="false" outlineLevel="0" collapsed="false">
      <c r="B19" s="9" t="s">
        <v>278</v>
      </c>
      <c r="C19" s="12" t="n">
        <f aca="false">IF(C11=0,C10,(C12^C10-1)/(C12^C10*(C12-1)))</f>
        <v>6.46321275942626</v>
      </c>
    </row>
    <row r="20" customFormat="false" ht="15" hidden="false" customHeight="false" outlineLevel="0" collapsed="false">
      <c r="B20" s="9" t="s">
        <v>279</v>
      </c>
      <c r="C20" s="21" t="n">
        <f aca="false">C18*C19</f>
        <v>116337.829669673</v>
      </c>
    </row>
    <row r="21" customFormat="false" ht="18.75" hidden="false" customHeight="true" outlineLevel="0" collapsed="false">
      <c r="B21" s="4" t="s">
        <v>114</v>
      </c>
      <c r="C21" s="4"/>
      <c r="D21" s="4"/>
      <c r="E21" s="4"/>
      <c r="F21" s="4"/>
      <c r="G21" s="4"/>
      <c r="H21" s="4"/>
    </row>
    <row r="22" customFormat="false" ht="15" hidden="false" customHeight="false" outlineLevel="0" collapsed="false">
      <c r="B22" s="19" t="s">
        <v>280</v>
      </c>
      <c r="C22" s="22" t="n">
        <f aca="false">C20+C16</f>
        <v>288931.866986988</v>
      </c>
    </row>
    <row r="24" customFormat="false" ht="19.4" hidden="false" customHeight="true" outlineLevel="0" collapsed="false">
      <c r="B24" s="8" t="s">
        <v>281</v>
      </c>
      <c r="C24" s="8"/>
      <c r="D24" s="8"/>
      <c r="E24" s="8"/>
      <c r="F24" s="8"/>
      <c r="G24" s="8"/>
      <c r="H24" s="8"/>
    </row>
    <row r="26" customFormat="false" ht="18.75" hidden="false" customHeight="true" outlineLevel="0" collapsed="false">
      <c r="B26" s="4" t="s">
        <v>282</v>
      </c>
      <c r="C26" s="4"/>
      <c r="D26" s="4"/>
      <c r="E26" s="4"/>
      <c r="F26" s="4"/>
      <c r="G26" s="4"/>
      <c r="H26" s="4"/>
    </row>
    <row r="27" customFormat="false" ht="15" hidden="false" customHeight="false" outlineLevel="0" collapsed="false">
      <c r="B27" s="9" t="s">
        <v>283</v>
      </c>
      <c r="C27" s="15" t="n">
        <v>1200000</v>
      </c>
    </row>
    <row r="28" customFormat="false" ht="15" hidden="false" customHeight="false" outlineLevel="0" collapsed="false">
      <c r="B28" s="9" t="s">
        <v>284</v>
      </c>
      <c r="C28" s="15" t="n">
        <v>720000</v>
      </c>
    </row>
    <row r="29" customFormat="false" ht="15" hidden="false" customHeight="false" outlineLevel="0" collapsed="false">
      <c r="B29" s="9" t="s">
        <v>285</v>
      </c>
      <c r="C29" s="41" t="n">
        <v>0.05</v>
      </c>
    </row>
    <row r="30" customFormat="false" ht="15" hidden="false" customHeight="false" outlineLevel="0" collapsed="false">
      <c r="B30" s="9" t="s">
        <v>286</v>
      </c>
      <c r="C30" s="15" t="n">
        <v>40000</v>
      </c>
    </row>
    <row r="31" customFormat="false" ht="15" hidden="false" customHeight="false" outlineLevel="0" collapsed="false">
      <c r="B31" s="9" t="s">
        <v>287</v>
      </c>
      <c r="C31" s="41" t="n">
        <v>0.15</v>
      </c>
    </row>
    <row r="32" customFormat="false" ht="15" hidden="false" customHeight="false" outlineLevel="0" collapsed="false">
      <c r="B32" s="5" t="s">
        <v>288</v>
      </c>
      <c r="C32" s="16" t="n">
        <f aca="false">C27-C28-C27*C29-C30-C27*C31</f>
        <v>200000</v>
      </c>
    </row>
    <row r="33" customFormat="false" ht="15" hidden="false" customHeight="false" outlineLevel="0" collapsed="false">
      <c r="B33" s="9" t="s">
        <v>289</v>
      </c>
      <c r="C33" s="41" t="n">
        <v>0.07</v>
      </c>
    </row>
    <row r="34" customFormat="false" ht="15" hidden="false" customHeight="false" outlineLevel="0" collapsed="false">
      <c r="B34" s="19" t="s">
        <v>290</v>
      </c>
      <c r="C34" s="22" t="n">
        <f aca="false">C32/(1+C33)</f>
        <v>186915.887850467</v>
      </c>
    </row>
    <row r="36" customFormat="false" ht="19.4" hidden="false" customHeight="true" outlineLevel="0" collapsed="false">
      <c r="B36" s="8" t="s">
        <v>291</v>
      </c>
      <c r="C36" s="8"/>
      <c r="D36" s="8"/>
      <c r="E36" s="8"/>
      <c r="F36" s="8"/>
      <c r="G36" s="8"/>
      <c r="H36" s="8"/>
    </row>
  </sheetData>
  <sheetProtection sheet="true" formatColumns="false" formatRows="false"/>
  <mergeCells count="9">
    <mergeCell ref="B2:H2"/>
    <mergeCell ref="B3:H3"/>
    <mergeCell ref="B5:H5"/>
    <mergeCell ref="B9:H9"/>
    <mergeCell ref="B17:H17"/>
    <mergeCell ref="B21:H21"/>
    <mergeCell ref="B24:H24"/>
    <mergeCell ref="B26:H26"/>
    <mergeCell ref="B36:H36"/>
  </mergeCells>
  <dataValidations count="3">
    <dataValidation allowBlank="true" error="Bitte einen Dezimalwert zwischen 0 und 1 eingeben (z. B. 0,045 für 4,5 %)." errorStyle="stop" errorTitle="Prozentwert ungültig" operator="between" prompt="Als Dezimalzahl: 0,045 = 4,5 %" promptTitle="Eingabe" showDropDown="false" showErrorMessage="true" showInputMessage="true" sqref="C11 C29 C31 C33" type="decimal">
      <formula1>0</formula1>
      <formula2>1</formula2>
    </dataValidation>
    <dataValidation allowBlank="true" error="Bitte eine ganze Zahl eingeben (z. B. Jahre)." errorStyle="stop" errorTitle="Eingabe ungültig" operator="between" showDropDown="false" showErrorMessage="true" showInputMessage="false" sqref="C10" type="whole">
      <formula1>0</formula1>
      <formula2>2200</formula2>
    </dataValidation>
    <dataValidation allowBlank="true" error="Bitte eine Zahl eingeben (keinen Text)." errorStyle="stop" errorTitle="Eingabe ungültig" operator="between" showDropDown="false" showErrorMessage="true" showInputMessage="false" sqref="C6:C7 C18 C27:C28 C30" type="decimal">
      <formula1>-1000000000000</formula1>
      <formula2>1000000000000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H2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5"/>
    <col collapsed="false" customWidth="true" hidden="false" outlineLevel="0" max="2" min="2" style="0" width="50"/>
    <col collapsed="false" customWidth="true" hidden="false" outlineLevel="0" max="5" min="3" style="0" width="18"/>
    <col collapsed="false" customWidth="true" hidden="false" outlineLevel="0" max="8" min="6" style="0" width="14"/>
  </cols>
  <sheetData>
    <row r="2" customFormat="false" ht="30" hidden="false" customHeight="true" outlineLevel="0" collapsed="false">
      <c r="B2" s="1" t="s">
        <v>292</v>
      </c>
      <c r="C2" s="1"/>
      <c r="D2" s="1"/>
      <c r="E2" s="1"/>
      <c r="F2" s="1"/>
      <c r="G2" s="1"/>
      <c r="H2" s="1"/>
    </row>
    <row r="3" customFormat="false" ht="15.75" hidden="false" customHeight="true" outlineLevel="0" collapsed="false">
      <c r="B3" s="2" t="s">
        <v>293</v>
      </c>
      <c r="C3" s="2"/>
      <c r="D3" s="2"/>
      <c r="E3" s="2"/>
      <c r="F3" s="2"/>
      <c r="G3" s="2"/>
      <c r="H3" s="2"/>
    </row>
    <row r="5" customFormat="false" ht="18.75" hidden="false" customHeight="true" outlineLevel="0" collapsed="false">
      <c r="B5" s="4" t="s">
        <v>97</v>
      </c>
      <c r="C5" s="4"/>
      <c r="D5" s="4"/>
      <c r="E5" s="4"/>
      <c r="F5" s="4"/>
      <c r="G5" s="4"/>
      <c r="H5" s="4"/>
    </row>
    <row r="6" customFormat="false" ht="15" hidden="false" customHeight="false" outlineLevel="0" collapsed="false">
      <c r="B6" s="9" t="s">
        <v>294</v>
      </c>
      <c r="C6" s="15" t="n">
        <v>300000</v>
      </c>
    </row>
    <row r="7" customFormat="false" ht="15" hidden="false" customHeight="false" outlineLevel="0" collapsed="false">
      <c r="B7" s="9" t="s">
        <v>295</v>
      </c>
      <c r="C7" s="15" t="n">
        <v>400000</v>
      </c>
    </row>
    <row r="8" customFormat="false" ht="15" hidden="false" customHeight="false" outlineLevel="0" collapsed="false">
      <c r="B8" s="9" t="s">
        <v>296</v>
      </c>
      <c r="C8" s="15" t="n">
        <v>9000</v>
      </c>
    </row>
    <row r="9" customFormat="false" ht="15" hidden="false" customHeight="false" outlineLevel="0" collapsed="false">
      <c r="B9" s="9" t="s">
        <v>297</v>
      </c>
      <c r="C9" s="10" t="n">
        <v>0.04</v>
      </c>
    </row>
    <row r="10" customFormat="false" ht="15" hidden="false" customHeight="false" outlineLevel="0" collapsed="false">
      <c r="B10" s="9" t="s">
        <v>298</v>
      </c>
      <c r="C10" s="11" t="n">
        <v>60</v>
      </c>
    </row>
    <row r="11" customFormat="false" ht="15" hidden="false" customHeight="false" outlineLevel="0" collapsed="false">
      <c r="B11" s="9" t="s">
        <v>299</v>
      </c>
      <c r="C11" s="41" t="n">
        <v>1</v>
      </c>
    </row>
    <row r="12" customFormat="false" ht="15" hidden="false" customHeight="false" outlineLevel="0" collapsed="false">
      <c r="B12" s="9" t="s">
        <v>131</v>
      </c>
      <c r="C12" s="12" t="n">
        <f aca="false">1+C9</f>
        <v>1.04</v>
      </c>
    </row>
    <row r="13" customFormat="false" ht="15" hidden="false" customHeight="false" outlineLevel="0" collapsed="false">
      <c r="B13" s="9" t="s">
        <v>119</v>
      </c>
      <c r="C13" s="12" t="n">
        <f aca="false">IF(C9=0,C10,(C12^C10-1)/(C12^C10*(C12-1)))</f>
        <v>22.6234899744774</v>
      </c>
    </row>
    <row r="14" customFormat="false" ht="15" hidden="false" customHeight="false" outlineLevel="0" collapsed="false">
      <c r="B14" s="9" t="s">
        <v>300</v>
      </c>
      <c r="C14" s="12" t="n">
        <f aca="false">1/C12^C10</f>
        <v>0.0950604010209043</v>
      </c>
    </row>
    <row r="15" customFormat="false" ht="18.75" hidden="false" customHeight="true" outlineLevel="0" collapsed="false">
      <c r="B15" s="4" t="s">
        <v>301</v>
      </c>
      <c r="C15" s="4"/>
      <c r="D15" s="4"/>
      <c r="E15" s="4"/>
      <c r="F15" s="4"/>
      <c r="G15" s="4"/>
      <c r="H15" s="4"/>
    </row>
    <row r="16" customFormat="false" ht="15" hidden="false" customHeight="false" outlineLevel="0" collapsed="false">
      <c r="B16" s="9" t="s">
        <v>302</v>
      </c>
      <c r="C16" s="21" t="n">
        <f aca="false">C6*C9</f>
        <v>12000</v>
      </c>
    </row>
    <row r="17" customFormat="false" ht="15" hidden="false" customHeight="false" outlineLevel="0" collapsed="false">
      <c r="B17" s="9" t="s">
        <v>303</v>
      </c>
      <c r="C17" s="21" t="n">
        <f aca="false">C16-C8</f>
        <v>3000</v>
      </c>
    </row>
    <row r="18" customFormat="false" ht="18.75" hidden="false" customHeight="true" outlineLevel="0" collapsed="false">
      <c r="B18" s="4" t="s">
        <v>304</v>
      </c>
      <c r="C18" s="4"/>
      <c r="D18" s="4"/>
      <c r="E18" s="4"/>
      <c r="F18" s="4"/>
      <c r="G18" s="4"/>
      <c r="H18" s="4"/>
    </row>
    <row r="19" customFormat="false" ht="15" hidden="false" customHeight="false" outlineLevel="0" collapsed="false">
      <c r="B19" s="9" t="s">
        <v>305</v>
      </c>
      <c r="C19" s="21" t="n">
        <f aca="false">C7</f>
        <v>400000</v>
      </c>
    </row>
    <row r="20" customFormat="false" ht="15" hidden="false" customHeight="false" outlineLevel="0" collapsed="false">
      <c r="B20" s="9" t="s">
        <v>306</v>
      </c>
      <c r="C20" s="21" t="n">
        <f aca="false">C17*C13</f>
        <v>67870.4699234321</v>
      </c>
    </row>
    <row r="21" customFormat="false" ht="15" hidden="false" customHeight="false" outlineLevel="0" collapsed="false">
      <c r="B21" s="9" t="s">
        <v>307</v>
      </c>
      <c r="C21" s="21" t="n">
        <f aca="false">-C7*(1-C11)*C14</f>
        <v>-0</v>
      </c>
    </row>
    <row r="22" customFormat="false" ht="15" hidden="false" customHeight="false" outlineLevel="0" collapsed="false">
      <c r="B22" s="19" t="s">
        <v>308</v>
      </c>
      <c r="C22" s="22" t="n">
        <f aca="false">C7+C17*C13-C7*(1-C11)*C14</f>
        <v>467870.469923432</v>
      </c>
    </row>
    <row r="23" customFormat="false" ht="18.75" hidden="false" customHeight="true" outlineLevel="0" collapsed="false">
      <c r="B23" s="4" t="s">
        <v>309</v>
      </c>
      <c r="C23" s="4"/>
      <c r="D23" s="4"/>
      <c r="E23" s="4"/>
      <c r="F23" s="4"/>
      <c r="G23" s="4"/>
      <c r="H23" s="4"/>
    </row>
    <row r="24" customFormat="false" ht="15" hidden="false" customHeight="false" outlineLevel="0" collapsed="false">
      <c r="B24" s="9" t="s">
        <v>310</v>
      </c>
      <c r="C24" s="21" t="n">
        <f aca="false">C8*C13</f>
        <v>203611.409770296</v>
      </c>
    </row>
    <row r="25" customFormat="false" ht="15" hidden="false" customHeight="false" outlineLevel="0" collapsed="false">
      <c r="B25" s="9" t="s">
        <v>311</v>
      </c>
      <c r="C25" s="21" t="n">
        <f aca="false">C6*C14</f>
        <v>28518.1203062713</v>
      </c>
    </row>
    <row r="26" customFormat="false" ht="15" hidden="false" customHeight="false" outlineLevel="0" collapsed="false">
      <c r="B26" s="9" t="s">
        <v>312</v>
      </c>
      <c r="C26" s="21" t="n">
        <v>0</v>
      </c>
    </row>
    <row r="27" customFormat="false" ht="15" hidden="false" customHeight="false" outlineLevel="0" collapsed="false">
      <c r="B27" s="19" t="s">
        <v>313</v>
      </c>
      <c r="C27" s="22" t="n">
        <f aca="false">C8*C13+C6*C14</f>
        <v>232129.530076568</v>
      </c>
    </row>
    <row r="29" customFormat="false" ht="19.4" hidden="false" customHeight="true" outlineLevel="0" collapsed="false">
      <c r="B29" s="8" t="s">
        <v>314</v>
      </c>
      <c r="C29" s="8"/>
      <c r="D29" s="8"/>
      <c r="E29" s="8"/>
      <c r="F29" s="8"/>
      <c r="G29" s="8"/>
      <c r="H29" s="8"/>
    </row>
  </sheetData>
  <sheetProtection sheet="true" formatColumns="false" formatRows="false"/>
  <mergeCells count="7">
    <mergeCell ref="B2:H2"/>
    <mergeCell ref="B3:H3"/>
    <mergeCell ref="B5:H5"/>
    <mergeCell ref="B15:H15"/>
    <mergeCell ref="B18:H18"/>
    <mergeCell ref="B23:H23"/>
    <mergeCell ref="B29:H29"/>
  </mergeCells>
  <dataValidations count="3">
    <dataValidation allowBlank="true" error="Bitte einen Dezimalwert zwischen 0 und 1 eingeben (z. B. 0,045 für 4,5 %)." errorStyle="stop" errorTitle="Prozentwert ungültig" operator="between" prompt="Als Dezimalzahl: 0,045 = 4,5 %" promptTitle="Eingabe" showDropDown="false" showErrorMessage="true" showInputMessage="true" sqref="C9 C11" type="decimal">
      <formula1>0</formula1>
      <formula2>1</formula2>
    </dataValidation>
    <dataValidation allowBlank="true" error="Bitte eine ganze Zahl eingeben (z. B. Jahre)." errorStyle="stop" errorTitle="Eingabe ungültig" operator="between" showDropDown="false" showErrorMessage="true" showInputMessage="false" sqref="C10" type="whole">
      <formula1>0</formula1>
      <formula2>2200</formula2>
    </dataValidation>
    <dataValidation allowBlank="true" error="Bitte eine Zahl eingeben (keinen Text)." errorStyle="stop" errorTitle="Eingabe ungültig" operator="between" showDropDown="false" showErrorMessage="true" showInputMessage="false" sqref="C6:C8" type="decimal">
      <formula1>-1000000000000</formula1>
      <formula2>1000000000000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H2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5"/>
    <col collapsed="false" customWidth="true" hidden="false" outlineLevel="0" max="2" min="2" style="0" width="50"/>
    <col collapsed="false" customWidth="true" hidden="false" outlineLevel="0" max="5" min="3" style="0" width="18"/>
    <col collapsed="false" customWidth="true" hidden="false" outlineLevel="0" max="8" min="6" style="0" width="14"/>
  </cols>
  <sheetData>
    <row r="2" customFormat="false" ht="30" hidden="false" customHeight="true" outlineLevel="0" collapsed="false">
      <c r="B2" s="1" t="s">
        <v>315</v>
      </c>
      <c r="C2" s="1"/>
      <c r="D2" s="1"/>
      <c r="E2" s="1"/>
      <c r="F2" s="1"/>
      <c r="G2" s="1"/>
      <c r="H2" s="1"/>
    </row>
    <row r="3" customFormat="false" ht="15.75" hidden="false" customHeight="true" outlineLevel="0" collapsed="false">
      <c r="B3" s="2" t="s">
        <v>316</v>
      </c>
      <c r="C3" s="2"/>
      <c r="D3" s="2"/>
      <c r="E3" s="2"/>
      <c r="F3" s="2"/>
      <c r="G3" s="2"/>
      <c r="H3" s="2"/>
    </row>
    <row r="5" customFormat="false" ht="18.75" hidden="false" customHeight="true" outlineLevel="0" collapsed="false">
      <c r="B5" s="4" t="s">
        <v>127</v>
      </c>
      <c r="C5" s="4"/>
      <c r="D5" s="4"/>
      <c r="E5" s="4"/>
      <c r="F5" s="4"/>
      <c r="G5" s="4"/>
      <c r="H5" s="4"/>
    </row>
    <row r="6" customFormat="false" ht="15" hidden="false" customHeight="false" outlineLevel="0" collapsed="false">
      <c r="B6" s="9" t="s">
        <v>317</v>
      </c>
      <c r="C6" s="10" t="n">
        <v>0.045</v>
      </c>
    </row>
    <row r="7" customFormat="false" ht="15" hidden="false" customHeight="false" outlineLevel="0" collapsed="false">
      <c r="B7" s="9" t="s">
        <v>131</v>
      </c>
      <c r="C7" s="12" t="n">
        <f aca="false">1+C6</f>
        <v>1.045</v>
      </c>
    </row>
    <row r="8" customFormat="false" ht="18.75" hidden="false" customHeight="true" outlineLevel="0" collapsed="false">
      <c r="B8" s="4" t="s">
        <v>318</v>
      </c>
      <c r="C8" s="4"/>
      <c r="D8" s="4"/>
      <c r="E8" s="4"/>
      <c r="F8" s="4"/>
      <c r="G8" s="4"/>
      <c r="H8" s="4"/>
    </row>
    <row r="9" customFormat="false" ht="15" hidden="false" customHeight="false" outlineLevel="0" collapsed="false">
      <c r="B9" s="9" t="s">
        <v>319</v>
      </c>
      <c r="C9" s="15" t="n">
        <v>9600</v>
      </c>
    </row>
    <row r="10" customFormat="false" ht="15" hidden="false" customHeight="false" outlineLevel="0" collapsed="false">
      <c r="B10" s="9" t="s">
        <v>320</v>
      </c>
      <c r="C10" s="11" t="n">
        <v>15</v>
      </c>
    </row>
    <row r="11" customFormat="false" ht="15" hidden="false" customHeight="false" outlineLevel="0" collapsed="false">
      <c r="B11" s="9" t="s">
        <v>321</v>
      </c>
      <c r="C11" s="12" t="n">
        <f aca="false">IF(C6=0,C10,(C7^C10-1)/(C7^C10*(C7-1)))</f>
        <v>10.7395457263163</v>
      </c>
    </row>
    <row r="12" customFormat="false" ht="15" hidden="false" customHeight="false" outlineLevel="0" collapsed="false">
      <c r="B12" s="5" t="s">
        <v>322</v>
      </c>
      <c r="C12" s="16" t="n">
        <f aca="false">C9*C11</f>
        <v>103099.638972636</v>
      </c>
    </row>
    <row r="13" customFormat="false" ht="18.75" hidden="false" customHeight="true" outlineLevel="0" collapsed="false">
      <c r="B13" s="4" t="s">
        <v>323</v>
      </c>
      <c r="C13" s="4"/>
      <c r="D13" s="4"/>
      <c r="E13" s="4"/>
      <c r="F13" s="4"/>
      <c r="G13" s="4"/>
      <c r="H13" s="4"/>
    </row>
    <row r="14" customFormat="false" ht="15" hidden="false" customHeight="false" outlineLevel="0" collapsed="false">
      <c r="B14" s="9" t="s">
        <v>324</v>
      </c>
      <c r="C14" s="15" t="n">
        <v>9600</v>
      </c>
    </row>
    <row r="15" customFormat="false" ht="15" hidden="false" customHeight="false" outlineLevel="0" collapsed="false">
      <c r="B15" s="9" t="s">
        <v>325</v>
      </c>
      <c r="C15" s="17" t="n">
        <v>12.5</v>
      </c>
    </row>
    <row r="16" customFormat="false" ht="15" hidden="false" customHeight="false" outlineLevel="0" collapsed="false">
      <c r="B16" s="5" t="s">
        <v>326</v>
      </c>
      <c r="C16" s="16" t="n">
        <f aca="false">C14*C15</f>
        <v>120000</v>
      </c>
    </row>
    <row r="17" customFormat="false" ht="18.75" hidden="false" customHeight="true" outlineLevel="0" collapsed="false">
      <c r="B17" s="4" t="s">
        <v>327</v>
      </c>
      <c r="C17" s="4"/>
      <c r="D17" s="4"/>
      <c r="E17" s="4"/>
      <c r="F17" s="4"/>
      <c r="G17" s="4"/>
      <c r="H17" s="4"/>
    </row>
    <row r="18" customFormat="false" ht="15" hidden="false" customHeight="false" outlineLevel="0" collapsed="false">
      <c r="B18" s="9" t="s">
        <v>328</v>
      </c>
      <c r="C18" s="15" t="n">
        <v>500000</v>
      </c>
    </row>
    <row r="19" customFormat="false" ht="15" hidden="false" customHeight="false" outlineLevel="0" collapsed="false">
      <c r="B19" s="9" t="s">
        <v>329</v>
      </c>
      <c r="C19" s="15" t="n">
        <v>120000</v>
      </c>
    </row>
    <row r="20" customFormat="false" ht="15" hidden="false" customHeight="false" outlineLevel="0" collapsed="false">
      <c r="B20" s="19" t="s">
        <v>330</v>
      </c>
      <c r="C20" s="22" t="n">
        <f aca="false">C18-C19</f>
        <v>380000</v>
      </c>
    </row>
    <row r="22" customFormat="false" ht="19.4" hidden="false" customHeight="true" outlineLevel="0" collapsed="false">
      <c r="B22" s="8" t="s">
        <v>331</v>
      </c>
      <c r="C22" s="8"/>
      <c r="D22" s="8"/>
      <c r="E22" s="8"/>
      <c r="F22" s="8"/>
      <c r="G22" s="8"/>
      <c r="H22" s="8"/>
    </row>
  </sheetData>
  <sheetProtection sheet="true" formatColumns="false" formatRows="false"/>
  <mergeCells count="7">
    <mergeCell ref="B2:H2"/>
    <mergeCell ref="B3:H3"/>
    <mergeCell ref="B5:H5"/>
    <mergeCell ref="B8:H8"/>
    <mergeCell ref="B13:H13"/>
    <mergeCell ref="B17:H17"/>
    <mergeCell ref="B22:H22"/>
  </mergeCells>
  <dataValidations count="3">
    <dataValidation allowBlank="true" error="Bitte einen Dezimalwert zwischen 0 und 1 eingeben (z. B. 0,045 für 4,5 %)." errorStyle="stop" errorTitle="Prozentwert ungültig" operator="between" prompt="Als Dezimalzahl: 0,045 = 4,5 %" promptTitle="Eingabe" showDropDown="false" showErrorMessage="true" showInputMessage="true" sqref="C6" type="decimal">
      <formula1>0</formula1>
      <formula2>1</formula2>
    </dataValidation>
    <dataValidation allowBlank="true" error="Bitte eine ganze Zahl eingeben (z. B. Jahre)." errorStyle="stop" errorTitle="Eingabe ungültig" operator="between" showDropDown="false" showErrorMessage="true" showInputMessage="false" sqref="C10" type="whole">
      <formula1>0</formula1>
      <formula2>2200</formula2>
    </dataValidation>
    <dataValidation allowBlank="true" error="Bitte eine Zahl eingeben (keinen Text)." errorStyle="stop" errorTitle="Eingabe ungültig" operator="between" showDropDown="false" showErrorMessage="true" showInputMessage="false" sqref="C9 C14:C15 C18:C19" type="decimal">
      <formula1>-1000000000000</formula1>
      <formula2>1000000000000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H2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5"/>
    <col collapsed="false" customWidth="true" hidden="false" outlineLevel="0" max="2" min="2" style="0" width="50"/>
    <col collapsed="false" customWidth="true" hidden="false" outlineLevel="0" max="5" min="3" style="0" width="18"/>
    <col collapsed="false" customWidth="true" hidden="false" outlineLevel="0" max="8" min="6" style="0" width="14"/>
  </cols>
  <sheetData>
    <row r="2" customFormat="false" ht="30" hidden="false" customHeight="true" outlineLevel="0" collapsed="false">
      <c r="B2" s="1" t="s">
        <v>332</v>
      </c>
      <c r="C2" s="1"/>
      <c r="D2" s="1"/>
      <c r="E2" s="1"/>
      <c r="F2" s="1"/>
      <c r="G2" s="1"/>
      <c r="H2" s="1"/>
    </row>
    <row r="3" customFormat="false" ht="15.75" hidden="false" customHeight="true" outlineLevel="0" collapsed="false">
      <c r="B3" s="2" t="s">
        <v>333</v>
      </c>
      <c r="C3" s="2"/>
      <c r="D3" s="2"/>
      <c r="E3" s="2"/>
      <c r="F3" s="2"/>
      <c r="G3" s="2"/>
      <c r="H3" s="2"/>
    </row>
    <row r="5" customFormat="false" ht="18.75" hidden="false" customHeight="true" outlineLevel="0" collapsed="false">
      <c r="B5" s="4" t="s">
        <v>334</v>
      </c>
      <c r="C5" s="4"/>
      <c r="D5" s="4"/>
      <c r="E5" s="4"/>
      <c r="F5" s="4"/>
      <c r="G5" s="4"/>
      <c r="H5" s="4"/>
    </row>
    <row r="6" customFormat="false" ht="15" hidden="false" customHeight="false" outlineLevel="0" collapsed="false">
      <c r="B6" s="9" t="s">
        <v>335</v>
      </c>
      <c r="C6" s="15" t="n">
        <v>58000</v>
      </c>
    </row>
    <row r="7" customFormat="false" ht="15" hidden="false" customHeight="false" outlineLevel="0" collapsed="false">
      <c r="B7" s="9" t="s">
        <v>336</v>
      </c>
      <c r="C7" s="15" t="n">
        <v>13000</v>
      </c>
    </row>
    <row r="8" customFormat="false" ht="15" hidden="false" customHeight="false" outlineLevel="0" collapsed="false">
      <c r="B8" s="9" t="s">
        <v>337</v>
      </c>
      <c r="C8" s="21" t="n">
        <f aca="false">C6-C7</f>
        <v>45000</v>
      </c>
    </row>
    <row r="9" customFormat="false" ht="15" hidden="false" customHeight="false" outlineLevel="0" collapsed="false">
      <c r="B9" s="9" t="s">
        <v>338</v>
      </c>
      <c r="C9" s="15" t="n">
        <v>290000</v>
      </c>
    </row>
    <row r="10" customFormat="false" ht="15" hidden="false" customHeight="false" outlineLevel="0" collapsed="false">
      <c r="B10" s="9" t="s">
        <v>339</v>
      </c>
      <c r="C10" s="10" t="n">
        <v>0.06</v>
      </c>
    </row>
    <row r="11" customFormat="false" ht="15" hidden="false" customHeight="false" outlineLevel="0" collapsed="false">
      <c r="B11" s="9" t="s">
        <v>340</v>
      </c>
      <c r="C11" s="11" t="n">
        <v>40</v>
      </c>
    </row>
    <row r="12" customFormat="false" ht="15" hidden="false" customHeight="false" outlineLevel="0" collapsed="false">
      <c r="B12" s="9" t="s">
        <v>131</v>
      </c>
      <c r="C12" s="12" t="n">
        <f aca="false">1+C10</f>
        <v>1.06</v>
      </c>
    </row>
    <row r="13" customFormat="false" ht="15" hidden="false" customHeight="false" outlineLevel="0" collapsed="false">
      <c r="B13" s="9" t="s">
        <v>119</v>
      </c>
      <c r="C13" s="12" t="n">
        <f aca="false">IF(C10=0,C11,(C12^C11-1)/(C12^C11*(C12-1)))</f>
        <v>15.0462968715249</v>
      </c>
    </row>
    <row r="14" customFormat="false" ht="15" hidden="false" customHeight="false" outlineLevel="0" collapsed="false">
      <c r="B14" s="9" t="s">
        <v>341</v>
      </c>
      <c r="C14" s="21" t="n">
        <f aca="false">C8-C9*C10</f>
        <v>27600</v>
      </c>
    </row>
    <row r="15" customFormat="false" ht="15" hidden="false" customHeight="false" outlineLevel="0" collapsed="false">
      <c r="B15" s="5" t="s">
        <v>342</v>
      </c>
      <c r="C15" s="16" t="n">
        <f aca="false">C14*C13+C9</f>
        <v>705277.793654087</v>
      </c>
    </row>
    <row r="16" customFormat="false" ht="18.75" hidden="false" customHeight="true" outlineLevel="0" collapsed="false">
      <c r="B16" s="4" t="s">
        <v>343</v>
      </c>
      <c r="C16" s="4"/>
      <c r="D16" s="4"/>
      <c r="E16" s="4"/>
      <c r="F16" s="4"/>
      <c r="G16" s="4"/>
      <c r="H16" s="4"/>
    </row>
    <row r="17" customFormat="false" ht="15" hidden="false" customHeight="false" outlineLevel="0" collapsed="false">
      <c r="B17" s="9" t="s">
        <v>344</v>
      </c>
      <c r="C17" s="15" t="n">
        <v>720000</v>
      </c>
    </row>
    <row r="18" customFormat="false" ht="15" hidden="false" customHeight="false" outlineLevel="0" collapsed="false">
      <c r="B18" s="9" t="s">
        <v>345</v>
      </c>
      <c r="C18" s="41" t="n">
        <v>0.1</v>
      </c>
    </row>
    <row r="19" customFormat="false" ht="15" hidden="false" customHeight="false" outlineLevel="0" collapsed="false">
      <c r="B19" s="5" t="s">
        <v>346</v>
      </c>
      <c r="C19" s="16" t="n">
        <f aca="false">C17*(1-C18)</f>
        <v>648000</v>
      </c>
    </row>
    <row r="20" customFormat="false" ht="18.75" hidden="false" customHeight="true" outlineLevel="0" collapsed="false">
      <c r="B20" s="4" t="s">
        <v>114</v>
      </c>
      <c r="C20" s="4"/>
      <c r="D20" s="4"/>
      <c r="E20" s="4"/>
      <c r="F20" s="4"/>
      <c r="G20" s="4"/>
      <c r="H20" s="4"/>
    </row>
    <row r="21" customFormat="false" ht="15" hidden="false" customHeight="false" outlineLevel="0" collapsed="false">
      <c r="B21" s="19" t="s">
        <v>347</v>
      </c>
      <c r="C21" s="22" t="n">
        <f aca="false">MIN(C15,C19)</f>
        <v>648000</v>
      </c>
    </row>
    <row r="23" customFormat="false" ht="19.4" hidden="false" customHeight="true" outlineLevel="0" collapsed="false">
      <c r="B23" s="8" t="s">
        <v>348</v>
      </c>
      <c r="C23" s="8"/>
      <c r="D23" s="8"/>
      <c r="E23" s="8"/>
      <c r="F23" s="8"/>
      <c r="G23" s="8"/>
      <c r="H23" s="8"/>
    </row>
  </sheetData>
  <sheetProtection sheet="true" formatColumns="false" formatRows="false"/>
  <mergeCells count="6">
    <mergeCell ref="B2:H2"/>
    <mergeCell ref="B3:H3"/>
    <mergeCell ref="B5:H5"/>
    <mergeCell ref="B16:H16"/>
    <mergeCell ref="B20:H20"/>
    <mergeCell ref="B23:H23"/>
  </mergeCells>
  <dataValidations count="3">
    <dataValidation allowBlank="true" error="Bitte einen Dezimalwert zwischen 0 und 1 eingeben (z. B. 0,045 für 4,5 %)." errorStyle="stop" errorTitle="Prozentwert ungültig" operator="between" prompt="Als Dezimalzahl: 0,045 = 4,5 %" promptTitle="Eingabe" showDropDown="false" showErrorMessage="true" showInputMessage="true" sqref="C10 C18" type="decimal">
      <formula1>0</formula1>
      <formula2>1</formula2>
    </dataValidation>
    <dataValidation allowBlank="true" error="Bitte eine ganze Zahl eingeben (z. B. Jahre)." errorStyle="stop" errorTitle="Eingabe ungültig" operator="between" showDropDown="false" showErrorMessage="true" showInputMessage="false" sqref="C11" type="whole">
      <formula1>0</formula1>
      <formula2>2200</formula2>
    </dataValidation>
    <dataValidation allowBlank="true" error="Bitte eine Zahl eingeben (keinen Text)." errorStyle="stop" errorTitle="Eingabe ungültig" operator="between" showDropDown="false" showErrorMessage="true" showInputMessage="false" sqref="C6:C7 C9 C17" type="decimal">
      <formula1>-1000000000000</formula1>
      <formula2>1000000000000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H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5"/>
    <col collapsed="false" customWidth="true" hidden="false" outlineLevel="0" max="2" min="2" style="0" width="46"/>
    <col collapsed="false" customWidth="true" hidden="false" outlineLevel="0" max="5" min="3" style="0" width="18"/>
    <col collapsed="false" customWidth="true" hidden="false" outlineLevel="0" max="8" min="6" style="0" width="14"/>
  </cols>
  <sheetData>
    <row r="2" customFormat="false" ht="30" hidden="false" customHeight="true" outlineLevel="0" collapsed="false">
      <c r="B2" s="1" t="s">
        <v>349</v>
      </c>
      <c r="C2" s="1"/>
      <c r="D2" s="1"/>
      <c r="E2" s="1"/>
      <c r="F2" s="1"/>
      <c r="G2" s="1"/>
      <c r="H2" s="1"/>
    </row>
    <row r="3" customFormat="false" ht="15.75" hidden="false" customHeight="true" outlineLevel="0" collapsed="false">
      <c r="B3" s="2" t="s">
        <v>350</v>
      </c>
      <c r="C3" s="2"/>
      <c r="D3" s="2"/>
      <c r="E3" s="2"/>
      <c r="F3" s="2"/>
      <c r="G3" s="2"/>
      <c r="H3" s="2"/>
    </row>
    <row r="5" customFormat="false" ht="18.75" hidden="false" customHeight="true" outlineLevel="0" collapsed="false">
      <c r="B5" s="4" t="s">
        <v>351</v>
      </c>
      <c r="C5" s="4"/>
      <c r="D5" s="4"/>
      <c r="E5" s="4"/>
      <c r="F5" s="4"/>
      <c r="G5" s="4"/>
      <c r="H5" s="4"/>
    </row>
    <row r="6" customFormat="false" ht="15" hidden="false" customHeight="false" outlineLevel="0" collapsed="false">
      <c r="B6" s="9" t="s">
        <v>352</v>
      </c>
      <c r="C6" s="17" t="n">
        <v>40</v>
      </c>
    </row>
    <row r="7" customFormat="false" ht="15" hidden="false" customHeight="false" outlineLevel="0" collapsed="false">
      <c r="B7" s="9" t="s">
        <v>353</v>
      </c>
      <c r="C7" s="17" t="n">
        <v>17.159</v>
      </c>
    </row>
    <row r="8" customFormat="false" ht="15" hidden="false" customHeight="false" outlineLevel="0" collapsed="false">
      <c r="B8" s="9" t="s">
        <v>354</v>
      </c>
      <c r="C8" s="17" t="n">
        <v>45</v>
      </c>
    </row>
    <row r="9" customFormat="false" ht="15" hidden="false" customHeight="false" outlineLevel="0" collapsed="false">
      <c r="B9" s="9" t="s">
        <v>355</v>
      </c>
      <c r="C9" s="17" t="n">
        <v>18.402</v>
      </c>
    </row>
    <row r="10" customFormat="false" ht="15" hidden="false" customHeight="false" outlineLevel="0" collapsed="false">
      <c r="B10" s="9" t="s">
        <v>356</v>
      </c>
      <c r="C10" s="17" t="n">
        <v>43</v>
      </c>
    </row>
    <row r="11" customFormat="false" ht="15" hidden="false" customHeight="false" outlineLevel="0" collapsed="false">
      <c r="B11" s="19" t="s">
        <v>357</v>
      </c>
      <c r="C11" s="43" t="n">
        <f aca="false">IF(C8=C6,C7,C7+(C10-C6)/(C8-C6)*(C9-C7))</f>
        <v>17.9048</v>
      </c>
    </row>
    <row r="13" customFormat="false" ht="19.4" hidden="false" customHeight="true" outlineLevel="0" collapsed="false">
      <c r="B13" s="8" t="s">
        <v>358</v>
      </c>
      <c r="C13" s="8"/>
      <c r="D13" s="8"/>
      <c r="E13" s="8"/>
      <c r="F13" s="8"/>
      <c r="G13" s="8"/>
      <c r="H13" s="8"/>
    </row>
    <row r="15" customFormat="false" ht="18.75" hidden="false" customHeight="true" outlineLevel="0" collapsed="false">
      <c r="B15" s="4" t="s">
        <v>359</v>
      </c>
      <c r="C15" s="4"/>
      <c r="D15" s="4"/>
      <c r="E15" s="4"/>
      <c r="F15" s="4"/>
      <c r="G15" s="4"/>
      <c r="H15" s="4"/>
    </row>
    <row r="16" customFormat="false" ht="15" hidden="false" customHeight="false" outlineLevel="0" collapsed="false">
      <c r="B16" s="9" t="s">
        <v>360</v>
      </c>
      <c r="C16" s="17" t="n">
        <v>300</v>
      </c>
    </row>
    <row r="17" customFormat="false" ht="15" hidden="false" customHeight="false" outlineLevel="0" collapsed="false">
      <c r="B17" s="9" t="s">
        <v>361</v>
      </c>
      <c r="C17" s="17" t="n">
        <v>500</v>
      </c>
    </row>
    <row r="18" customFormat="false" ht="15" hidden="false" customHeight="false" outlineLevel="0" collapsed="false">
      <c r="B18" s="9" t="s">
        <v>362</v>
      </c>
      <c r="C18" s="17" t="n">
        <v>400000</v>
      </c>
    </row>
    <row r="19" customFormat="false" ht="15" hidden="false" customHeight="false" outlineLevel="0" collapsed="false">
      <c r="B19" s="9" t="s">
        <v>363</v>
      </c>
      <c r="C19" s="17" t="n">
        <v>600000</v>
      </c>
    </row>
    <row r="20" customFormat="false" ht="15" hidden="false" customHeight="false" outlineLevel="0" collapsed="false">
      <c r="B20" s="9" t="s">
        <v>364</v>
      </c>
      <c r="C20" s="17" t="n">
        <v>1.12</v>
      </c>
    </row>
    <row r="21" customFormat="false" ht="15" hidden="false" customHeight="false" outlineLevel="0" collapsed="false">
      <c r="B21" s="9" t="s">
        <v>365</v>
      </c>
      <c r="C21" s="17" t="n">
        <v>1.08</v>
      </c>
    </row>
    <row r="22" customFormat="false" ht="15" hidden="false" customHeight="false" outlineLevel="0" collapsed="false">
      <c r="B22" s="9" t="s">
        <v>366</v>
      </c>
      <c r="C22" s="17" t="n">
        <v>1.08</v>
      </c>
    </row>
    <row r="23" customFormat="false" ht="15" hidden="false" customHeight="false" outlineLevel="0" collapsed="false">
      <c r="B23" s="9" t="s">
        <v>367</v>
      </c>
      <c r="C23" s="17" t="n">
        <v>1.05</v>
      </c>
    </row>
    <row r="24" customFormat="false" ht="15" hidden="false" customHeight="false" outlineLevel="0" collapsed="false">
      <c r="B24" s="9" t="s">
        <v>368</v>
      </c>
      <c r="C24" s="17" t="n">
        <v>420</v>
      </c>
    </row>
    <row r="25" customFormat="false" ht="15" hidden="false" customHeight="false" outlineLevel="0" collapsed="false">
      <c r="B25" s="9" t="s">
        <v>369</v>
      </c>
      <c r="C25" s="17" t="n">
        <v>500000</v>
      </c>
    </row>
    <row r="26" customFormat="false" ht="15" hidden="false" customHeight="false" outlineLevel="0" collapsed="false">
      <c r="B26" s="9" t="s">
        <v>370</v>
      </c>
      <c r="C26" s="12" t="n">
        <f aca="false">IF(C17=C16,0,(C24-C16)/(C17-C16))</f>
        <v>0.6</v>
      </c>
    </row>
    <row r="27" customFormat="false" ht="15" hidden="false" customHeight="false" outlineLevel="0" collapsed="false">
      <c r="B27" s="9" t="s">
        <v>371</v>
      </c>
      <c r="C27" s="12" t="n">
        <f aca="false">IF(C19=C18,0,(C25-C18)/(C19-C18))</f>
        <v>0.5</v>
      </c>
    </row>
    <row r="28" customFormat="false" ht="15" hidden="false" customHeight="false" outlineLevel="0" collapsed="false">
      <c r="B28" s="19" t="s">
        <v>372</v>
      </c>
      <c r="C28" s="43" t="n">
        <f aca="false">C20*(1-C26)*(1-C27)+C21*C26*(1-C27)+C22*(1-C26)*C27+C23*C26*C27</f>
        <v>1.079</v>
      </c>
    </row>
    <row r="30" customFormat="false" ht="19.4" hidden="false" customHeight="true" outlineLevel="0" collapsed="false">
      <c r="B30" s="8" t="s">
        <v>373</v>
      </c>
      <c r="C30" s="8"/>
      <c r="D30" s="8"/>
      <c r="E30" s="8"/>
      <c r="F30" s="8"/>
      <c r="G30" s="8"/>
      <c r="H30" s="8"/>
    </row>
  </sheetData>
  <sheetProtection sheet="true" formatColumns="false" formatRows="false"/>
  <mergeCells count="6">
    <mergeCell ref="B2:H2"/>
    <mergeCell ref="B3:H3"/>
    <mergeCell ref="B5:H5"/>
    <mergeCell ref="B13:H13"/>
    <mergeCell ref="B15:H15"/>
    <mergeCell ref="B30:H30"/>
  </mergeCells>
  <dataValidations count="1">
    <dataValidation allowBlank="true" error="Bitte eine Zahl eingeben (keinen Text)." errorStyle="stop" errorTitle="Eingabe ungültig" operator="between" showDropDown="false" showErrorMessage="true" showInputMessage="false" sqref="C6:C10 C16:C25" type="decimal">
      <formula1>-1000000000000</formula1>
      <formula2>1000000000000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H2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5"/>
    <col collapsed="false" customWidth="true" hidden="false" outlineLevel="0" max="2" min="2" style="0" width="28"/>
    <col collapsed="false" customWidth="true" hidden="false" outlineLevel="0" max="7" min="3" style="0" width="14"/>
  </cols>
  <sheetData>
    <row r="2" customFormat="false" ht="30" hidden="false" customHeight="true" outlineLevel="0" collapsed="false">
      <c r="B2" s="1" t="s">
        <v>374</v>
      </c>
      <c r="C2" s="1"/>
      <c r="D2" s="1"/>
      <c r="E2" s="1"/>
      <c r="F2" s="1"/>
      <c r="G2" s="1"/>
      <c r="H2" s="1"/>
    </row>
    <row r="3" customFormat="false" ht="15.75" hidden="false" customHeight="true" outlineLevel="0" collapsed="false">
      <c r="B3" s="2" t="s">
        <v>375</v>
      </c>
      <c r="C3" s="2"/>
      <c r="D3" s="2"/>
      <c r="E3" s="2"/>
      <c r="F3" s="2"/>
      <c r="G3" s="2"/>
      <c r="H3" s="2"/>
    </row>
    <row r="5" customFormat="false" ht="18.75" hidden="false" customHeight="true" outlineLevel="0" collapsed="false">
      <c r="B5" s="4" t="s">
        <v>376</v>
      </c>
      <c r="C5" s="4"/>
      <c r="D5" s="4"/>
      <c r="E5" s="4"/>
      <c r="F5" s="4"/>
      <c r="G5" s="4"/>
      <c r="H5" s="4"/>
    </row>
    <row r="6" customFormat="false" ht="15" hidden="false" customHeight="true" outlineLevel="0" collapsed="false">
      <c r="B6" s="8" t="s">
        <v>377</v>
      </c>
      <c r="C6" s="8"/>
      <c r="D6" s="8"/>
      <c r="E6" s="8"/>
      <c r="F6" s="8"/>
      <c r="G6" s="8"/>
    </row>
    <row r="8" customFormat="false" ht="15" hidden="false" customHeight="false" outlineLevel="0" collapsed="false">
      <c r="B8" s="32" t="s">
        <v>378</v>
      </c>
      <c r="C8" s="44" t="n">
        <v>100</v>
      </c>
      <c r="D8" s="44" t="n">
        <v>300</v>
      </c>
      <c r="E8" s="44" t="n">
        <v>500</v>
      </c>
      <c r="F8" s="44" t="n">
        <v>700</v>
      </c>
    </row>
    <row r="9" customFormat="false" ht="15" hidden="false" customHeight="false" outlineLevel="0" collapsed="false">
      <c r="B9" s="45" t="n">
        <v>200000</v>
      </c>
      <c r="C9" s="46" t="n">
        <v>1.2</v>
      </c>
      <c r="D9" s="46" t="n">
        <v>1.15</v>
      </c>
      <c r="E9" s="46" t="n">
        <v>1.1</v>
      </c>
      <c r="F9" s="46" t="n">
        <v>1.05</v>
      </c>
    </row>
    <row r="10" customFormat="false" ht="15" hidden="false" customHeight="false" outlineLevel="0" collapsed="false">
      <c r="B10" s="45" t="n">
        <v>400000</v>
      </c>
      <c r="C10" s="46" t="n">
        <v>1.15</v>
      </c>
      <c r="D10" s="46" t="n">
        <v>1.12</v>
      </c>
      <c r="E10" s="46" t="n">
        <v>1.08</v>
      </c>
      <c r="F10" s="46" t="n">
        <v>1.04</v>
      </c>
    </row>
    <row r="11" customFormat="false" ht="15" hidden="false" customHeight="false" outlineLevel="0" collapsed="false">
      <c r="B11" s="45" t="n">
        <v>600000</v>
      </c>
      <c r="C11" s="46" t="n">
        <v>1.1</v>
      </c>
      <c r="D11" s="46" t="n">
        <v>1.08</v>
      </c>
      <c r="E11" s="46" t="n">
        <v>1.05</v>
      </c>
      <c r="F11" s="46" t="n">
        <v>1.02</v>
      </c>
    </row>
    <row r="12" customFormat="false" ht="15" hidden="false" customHeight="false" outlineLevel="0" collapsed="false">
      <c r="B12" s="45" t="n">
        <v>800000</v>
      </c>
      <c r="C12" s="46" t="n">
        <v>1.05</v>
      </c>
      <c r="D12" s="46" t="n">
        <v>1.04</v>
      </c>
      <c r="E12" s="46" t="n">
        <v>1.02</v>
      </c>
      <c r="F12" s="46" t="n">
        <v>1</v>
      </c>
    </row>
    <row r="13" customFormat="false" ht="15" hidden="false" customHeight="false" outlineLevel="0" collapsed="false">
      <c r="B13" s="45" t="n">
        <v>1000000</v>
      </c>
      <c r="C13" s="46" t="n">
        <v>1.02</v>
      </c>
      <c r="D13" s="46" t="n">
        <v>1.01</v>
      </c>
      <c r="E13" s="46" t="n">
        <v>1</v>
      </c>
      <c r="F13" s="46" t="n">
        <v>0.98</v>
      </c>
    </row>
    <row r="15" customFormat="false" ht="18.75" hidden="false" customHeight="true" outlineLevel="0" collapsed="false">
      <c r="B15" s="4" t="s">
        <v>379</v>
      </c>
      <c r="C15" s="4"/>
      <c r="D15" s="4"/>
      <c r="E15" s="4"/>
      <c r="F15" s="4"/>
      <c r="G15" s="4"/>
      <c r="H15" s="4"/>
    </row>
    <row r="16" customFormat="false" ht="15" hidden="false" customHeight="false" outlineLevel="0" collapsed="false">
      <c r="B16" s="9" t="s">
        <v>380</v>
      </c>
      <c r="C16" s="47" t="n">
        <v>520000</v>
      </c>
    </row>
    <row r="17" customFormat="false" ht="15" hidden="false" customHeight="false" outlineLevel="0" collapsed="false">
      <c r="B17" s="9" t="s">
        <v>381</v>
      </c>
      <c r="C17" s="48" t="n">
        <v>420</v>
      </c>
    </row>
    <row r="19" customFormat="false" ht="15" hidden="false" customHeight="false" outlineLevel="0" collapsed="false">
      <c r="B19" s="49" t="s">
        <v>382</v>
      </c>
      <c r="C19" s="50" t="n">
        <f aca="false">MEDIAN($C$8,C17,$F$8)</f>
        <v>420</v>
      </c>
    </row>
    <row r="20" customFormat="false" ht="15" hidden="false" customHeight="false" outlineLevel="0" collapsed="false">
      <c r="B20" s="49" t="s">
        <v>383</v>
      </c>
      <c r="C20" s="18" t="n">
        <f aca="false">MATCH(C19,$C$8:$F$8,1)</f>
        <v>2</v>
      </c>
      <c r="D20" s="18" t="n">
        <f aca="false">MIN(C20+1,4)</f>
        <v>3</v>
      </c>
    </row>
    <row r="21" customFormat="false" ht="15" hidden="false" customHeight="false" outlineLevel="0" collapsed="false">
      <c r="B21" s="49" t="s">
        <v>384</v>
      </c>
      <c r="C21" s="50" t="n">
        <f aca="false">MEDIAN($B$9,C16,$B$13)</f>
        <v>520000</v>
      </c>
    </row>
    <row r="22" customFormat="false" ht="15" hidden="false" customHeight="false" outlineLevel="0" collapsed="false">
      <c r="B22" s="49" t="s">
        <v>385</v>
      </c>
      <c r="C22" s="18" t="n">
        <f aca="false">MATCH(C21,$B$9:$B$13,1)</f>
        <v>2</v>
      </c>
      <c r="D22" s="18" t="n">
        <f aca="false">MIN(C22+1,5)</f>
        <v>3</v>
      </c>
    </row>
    <row r="23" customFormat="false" ht="15" hidden="false" customHeight="false" outlineLevel="0" collapsed="false">
      <c r="B23" s="49" t="s">
        <v>386</v>
      </c>
      <c r="C23" s="12" t="n">
        <f aca="false">IF(INDEX($C$8:$F$8,1,D20)=INDEX($C$8:$F$8,1,C20),0,(C19-INDEX($C$8:$F$8,1,C20))/(INDEX($C$8:$F$8,1,D20)-INDEX($C$8:$F$8,1,C20)))</f>
        <v>0.6</v>
      </c>
      <c r="D23" s="12" t="n">
        <f aca="false">IF(INDEX($B$9:$B$13,D22,1)=INDEX($B$9:$B$13,C22,1),0,(C21-INDEX($B$9:$B$13,C22,1))/(INDEX($B$9:$B$13,D22,1)-INDEX($B$9:$B$13,C22,1)))</f>
        <v>0.6</v>
      </c>
    </row>
    <row r="25" customFormat="false" ht="15" hidden="false" customHeight="false" outlineLevel="0" collapsed="false">
      <c r="B25" s="19" t="s">
        <v>387</v>
      </c>
      <c r="C25" s="51" t="n">
        <f aca="false">INDEX($C$9:$F$13,C22,C20)*(1-C23)*(1-D23)+INDEX($C$9:$F$13,C22,D20)*C23*(1-D23)+INDEX($C$9:$F$13,D22,C20)*(1-C23)*D23+INDEX($C$9:$F$13,D22,D20)*C23*D23</f>
        <v>1.0756</v>
      </c>
    </row>
    <row r="26" customFormat="false" ht="15" hidden="false" customHeight="false" outlineLevel="0" collapsed="false">
      <c r="B26" s="5" t="s">
        <v>388</v>
      </c>
      <c r="C26" s="52" t="n">
        <f aca="false">C16*C25</f>
        <v>559312</v>
      </c>
    </row>
    <row r="28" customFormat="false" ht="19.4" hidden="false" customHeight="true" outlineLevel="0" collapsed="false">
      <c r="B28" s="8" t="s">
        <v>389</v>
      </c>
      <c r="C28" s="8"/>
      <c r="D28" s="8"/>
      <c r="E28" s="8"/>
      <c r="F28" s="8"/>
      <c r="G28" s="8"/>
      <c r="H28" s="8"/>
    </row>
  </sheetData>
  <sheetProtection sheet="true" formatColumns="false" formatRows="false"/>
  <mergeCells count="6">
    <mergeCell ref="B2:H2"/>
    <mergeCell ref="B3:H3"/>
    <mergeCell ref="B5:H5"/>
    <mergeCell ref="B6:G6"/>
    <mergeCell ref="B15:H15"/>
    <mergeCell ref="B28:H28"/>
  </mergeCells>
  <dataValidations count="1">
    <dataValidation allowBlank="true" error="Bitte eine Zahl eingeben (keinen Text)." errorStyle="stop" errorTitle="Eingabe ungültig" operator="between" showDropDown="false" showErrorMessage="true" showInputMessage="false" sqref="C9:F13 C16:C17" type="decimal">
      <formula1>-1000000000000</formula1>
      <formula2>1000000000000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H3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5"/>
    <col collapsed="false" customWidth="true" hidden="false" outlineLevel="0" max="2" min="2" style="0" width="44"/>
    <col collapsed="false" customWidth="true" hidden="false" outlineLevel="0" max="3" min="3" style="0" width="18"/>
    <col collapsed="false" customWidth="true" hidden="false" outlineLevel="0" max="4" min="4" style="0" width="40"/>
    <col collapsed="false" customWidth="true" hidden="false" outlineLevel="0" max="5" min="5" style="0" width="18"/>
    <col collapsed="false" customWidth="true" hidden="false" outlineLevel="0" max="8" min="6" style="0" width="14"/>
  </cols>
  <sheetData>
    <row r="2" customFormat="false" ht="30" hidden="false" customHeight="true" outlineLevel="0" collapsed="false">
      <c r="B2" s="1" t="s">
        <v>390</v>
      </c>
      <c r="C2" s="1"/>
      <c r="D2" s="1"/>
      <c r="E2" s="1"/>
      <c r="F2" s="1"/>
      <c r="G2" s="1"/>
      <c r="H2" s="1"/>
    </row>
    <row r="3" customFormat="false" ht="15.75" hidden="false" customHeight="true" outlineLevel="0" collapsed="false">
      <c r="B3" s="2" t="s">
        <v>391</v>
      </c>
      <c r="C3" s="2"/>
      <c r="D3" s="2"/>
      <c r="E3" s="2"/>
      <c r="F3" s="2"/>
      <c r="G3" s="2"/>
      <c r="H3" s="2"/>
    </row>
    <row r="5" customFormat="false" ht="18.75" hidden="false" customHeight="true" outlineLevel="0" collapsed="false">
      <c r="B5" s="4" t="s">
        <v>392</v>
      </c>
      <c r="C5" s="4"/>
      <c r="D5" s="4"/>
      <c r="E5" s="4"/>
      <c r="F5" s="4"/>
      <c r="G5" s="4"/>
      <c r="H5" s="4"/>
    </row>
    <row r="6" customFormat="false" ht="15" hidden="false" customHeight="false" outlineLevel="0" collapsed="false">
      <c r="B6" s="32" t="s">
        <v>393</v>
      </c>
      <c r="C6" s="32" t="s">
        <v>394</v>
      </c>
    </row>
    <row r="7" customFormat="false" ht="15" hidden="false" customHeight="false" outlineLevel="0" collapsed="false">
      <c r="B7" s="9" t="s">
        <v>395</v>
      </c>
      <c r="C7" s="24" t="s">
        <v>396</v>
      </c>
    </row>
    <row r="8" customFormat="false" ht="15" hidden="false" customHeight="false" outlineLevel="0" collapsed="false">
      <c r="B8" s="9" t="s">
        <v>397</v>
      </c>
      <c r="C8" s="24" t="s">
        <v>396</v>
      </c>
    </row>
    <row r="9" customFormat="false" ht="15" hidden="false" customHeight="false" outlineLevel="0" collapsed="false">
      <c r="B9" s="9" t="s">
        <v>398</v>
      </c>
      <c r="C9" s="24" t="s">
        <v>396</v>
      </c>
    </row>
    <row r="10" customFormat="false" ht="15" hidden="false" customHeight="false" outlineLevel="0" collapsed="false">
      <c r="B10" s="9" t="s">
        <v>399</v>
      </c>
      <c r="C10" s="24" t="s">
        <v>400</v>
      </c>
    </row>
    <row r="11" customFormat="false" ht="15" hidden="false" customHeight="false" outlineLevel="0" collapsed="false">
      <c r="B11" s="9" t="s">
        <v>401</v>
      </c>
      <c r="C11" s="24" t="s">
        <v>402</v>
      </c>
    </row>
    <row r="12" customFormat="false" ht="15" hidden="false" customHeight="false" outlineLevel="0" collapsed="false">
      <c r="B12" s="9" t="s">
        <v>403</v>
      </c>
      <c r="C12" s="24" t="s">
        <v>404</v>
      </c>
    </row>
    <row r="13" customFormat="false" ht="15" hidden="false" customHeight="false" outlineLevel="0" collapsed="false">
      <c r="B13" s="9" t="s">
        <v>405</v>
      </c>
      <c r="C13" s="24" t="s">
        <v>406</v>
      </c>
    </row>
    <row r="14" customFormat="false" ht="15" hidden="false" customHeight="false" outlineLevel="0" collapsed="false">
      <c r="B14" s="9" t="s">
        <v>407</v>
      </c>
      <c r="C14" s="24" t="s">
        <v>408</v>
      </c>
    </row>
    <row r="15" customFormat="false" ht="15" hidden="false" customHeight="false" outlineLevel="0" collapsed="false">
      <c r="B15" s="9" t="s">
        <v>409</v>
      </c>
      <c r="C15" s="24" t="s">
        <v>406</v>
      </c>
    </row>
    <row r="16" customFormat="false" ht="15" hidden="false" customHeight="true" outlineLevel="0" collapsed="false">
      <c r="B16" s="8" t="s">
        <v>410</v>
      </c>
      <c r="C16" s="8"/>
      <c r="D16" s="8"/>
      <c r="E16" s="8"/>
      <c r="F16" s="8"/>
      <c r="G16" s="8"/>
    </row>
    <row r="18" customFormat="false" ht="18.75" hidden="false" customHeight="true" outlineLevel="0" collapsed="false">
      <c r="B18" s="4" t="s">
        <v>411</v>
      </c>
      <c r="C18" s="4"/>
      <c r="D18" s="4"/>
      <c r="E18" s="4"/>
      <c r="F18" s="4"/>
      <c r="G18" s="4"/>
      <c r="H18" s="4"/>
    </row>
    <row r="19" customFormat="false" ht="15" hidden="false" customHeight="false" outlineLevel="0" collapsed="false">
      <c r="B19" s="32" t="s">
        <v>412</v>
      </c>
      <c r="C19" s="32" t="s">
        <v>413</v>
      </c>
    </row>
    <row r="20" customFormat="false" ht="15" hidden="false" customHeight="false" outlineLevel="0" collapsed="false">
      <c r="B20" s="38" t="s">
        <v>414</v>
      </c>
      <c r="C20" s="53" t="s">
        <v>415</v>
      </c>
      <c r="D20" s="53"/>
    </row>
    <row r="21" customFormat="false" ht="15" hidden="false" customHeight="false" outlineLevel="0" collapsed="false">
      <c r="B21" s="38" t="s">
        <v>416</v>
      </c>
      <c r="C21" s="53" t="s">
        <v>417</v>
      </c>
      <c r="D21" s="53"/>
    </row>
    <row r="22" customFormat="false" ht="15" hidden="false" customHeight="false" outlineLevel="0" collapsed="false">
      <c r="B22" s="38" t="s">
        <v>418</v>
      </c>
      <c r="C22" s="53" t="s">
        <v>419</v>
      </c>
      <c r="D22" s="53"/>
    </row>
    <row r="23" customFormat="false" ht="15" hidden="false" customHeight="false" outlineLevel="0" collapsed="false">
      <c r="B23" s="38" t="s">
        <v>420</v>
      </c>
      <c r="C23" s="53" t="s">
        <v>421</v>
      </c>
      <c r="D23" s="53"/>
    </row>
    <row r="24" customFormat="false" ht="15" hidden="false" customHeight="false" outlineLevel="0" collapsed="false">
      <c r="B24" s="38" t="s">
        <v>422</v>
      </c>
      <c r="C24" s="53" t="s">
        <v>423</v>
      </c>
      <c r="D24" s="53"/>
    </row>
    <row r="25" customFormat="false" ht="15" hidden="false" customHeight="true" outlineLevel="0" collapsed="false">
      <c r="B25" s="8" t="s">
        <v>424</v>
      </c>
      <c r="C25" s="8"/>
      <c r="D25" s="8"/>
      <c r="E25" s="8"/>
      <c r="F25" s="8"/>
      <c r="G25" s="8"/>
    </row>
    <row r="27" customFormat="false" ht="18.75" hidden="false" customHeight="true" outlineLevel="0" collapsed="false">
      <c r="B27" s="4" t="s">
        <v>425</v>
      </c>
      <c r="C27" s="4"/>
      <c r="D27" s="4"/>
      <c r="E27" s="4"/>
      <c r="F27" s="4"/>
      <c r="G27" s="4"/>
      <c r="H27" s="4"/>
    </row>
    <row r="28" customFormat="false" ht="15" hidden="false" customHeight="false" outlineLevel="0" collapsed="false">
      <c r="B28" s="9" t="s">
        <v>426</v>
      </c>
      <c r="C28" s="15" t="n">
        <v>1450</v>
      </c>
    </row>
    <row r="29" customFormat="false" ht="15" hidden="false" customHeight="false" outlineLevel="0" collapsed="false">
      <c r="B29" s="9" t="s">
        <v>427</v>
      </c>
      <c r="C29" s="17" t="n">
        <v>165</v>
      </c>
    </row>
    <row r="30" customFormat="false" ht="15" hidden="false" customHeight="false" outlineLevel="0" collapsed="false">
      <c r="B30" s="9" t="s">
        <v>148</v>
      </c>
      <c r="C30" s="26" t="n">
        <v>1</v>
      </c>
    </row>
    <row r="31" customFormat="false" ht="15" hidden="false" customHeight="false" outlineLevel="0" collapsed="false">
      <c r="B31" s="19" t="s">
        <v>428</v>
      </c>
      <c r="C31" s="54" t="n">
        <f aca="false">C28*C29/100*C30</f>
        <v>2392.5</v>
      </c>
    </row>
  </sheetData>
  <sheetProtection sheet="true" formatColumns="false" formatRows="false"/>
  <mergeCells count="12">
    <mergeCell ref="B2:H2"/>
    <mergeCell ref="B3:H3"/>
    <mergeCell ref="B5:H5"/>
    <mergeCell ref="B16:G16"/>
    <mergeCell ref="B18:H18"/>
    <mergeCell ref="C20:D20"/>
    <mergeCell ref="C21:D21"/>
    <mergeCell ref="C22:D22"/>
    <mergeCell ref="C23:D23"/>
    <mergeCell ref="C24:D24"/>
    <mergeCell ref="B25:G25"/>
    <mergeCell ref="B27:H27"/>
  </mergeCells>
  <dataValidations count="1">
    <dataValidation allowBlank="true" error="Bitte eine Zahl eingeben (keinen Text)." errorStyle="stop" errorTitle="Eingabe ungültig" operator="between" showDropDown="false" showErrorMessage="true" showInputMessage="false" sqref="C28:C30" type="decimal">
      <formula1>-1000000000000</formula1>
      <formula2>1000000000000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H2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5"/>
    <col collapsed="false" customWidth="true" hidden="false" outlineLevel="0" max="2" min="2" style="0" width="40"/>
    <col collapsed="false" customWidth="true" hidden="false" outlineLevel="0" max="3" min="3" style="0" width="18"/>
    <col collapsed="false" customWidth="true" hidden="false" outlineLevel="0" max="4" min="4" style="0" width="16"/>
    <col collapsed="false" customWidth="true" hidden="false" outlineLevel="0" max="5" min="5" style="0" width="18"/>
    <col collapsed="false" customWidth="true" hidden="false" outlineLevel="0" max="8" min="6" style="0" width="14"/>
  </cols>
  <sheetData>
    <row r="2" customFormat="false" ht="30" hidden="false" customHeight="true" outlineLevel="0" collapsed="false">
      <c r="B2" s="1" t="s">
        <v>429</v>
      </c>
      <c r="C2" s="1"/>
      <c r="D2" s="1"/>
      <c r="E2" s="1"/>
      <c r="F2" s="1"/>
      <c r="G2" s="1"/>
      <c r="H2" s="1"/>
    </row>
    <row r="3" customFormat="false" ht="15.75" hidden="false" customHeight="true" outlineLevel="0" collapsed="false">
      <c r="B3" s="2" t="s">
        <v>430</v>
      </c>
      <c r="C3" s="2"/>
      <c r="D3" s="2"/>
      <c r="E3" s="2"/>
      <c r="F3" s="2"/>
      <c r="G3" s="2"/>
      <c r="H3" s="2"/>
    </row>
    <row r="5" customFormat="false" ht="18.75" hidden="false" customHeight="true" outlineLevel="0" collapsed="false">
      <c r="B5" s="4" t="s">
        <v>431</v>
      </c>
      <c r="C5" s="4"/>
      <c r="D5" s="4"/>
      <c r="E5" s="4"/>
      <c r="F5" s="4"/>
      <c r="G5" s="4"/>
      <c r="H5" s="4"/>
    </row>
    <row r="6" customFormat="false" ht="15" hidden="false" customHeight="false" outlineLevel="0" collapsed="false">
      <c r="B6" s="9" t="s">
        <v>432</v>
      </c>
      <c r="C6" s="55" t="n">
        <f aca="false">'06 Vergleichs- &amp; Bodenwert'!C24</f>
        <v>327453.151298036</v>
      </c>
    </row>
    <row r="7" customFormat="false" ht="15" hidden="false" customHeight="false" outlineLevel="0" collapsed="false">
      <c r="B7" s="9" t="s">
        <v>433</v>
      </c>
      <c r="C7" s="55" t="n">
        <f aca="false">'02 Ertragswert allgemein'!C24</f>
        <v>960893.985981495</v>
      </c>
    </row>
    <row r="8" customFormat="false" ht="15" hidden="false" customHeight="false" outlineLevel="0" collapsed="false">
      <c r="B8" s="9" t="s">
        <v>434</v>
      </c>
      <c r="C8" s="55" t="n">
        <f aca="false">'05 Sachwertverfahren'!C27</f>
        <v>1037334.375</v>
      </c>
    </row>
    <row r="10" customFormat="false" ht="18.75" hidden="false" customHeight="true" outlineLevel="0" collapsed="false">
      <c r="B10" s="4" t="s">
        <v>435</v>
      </c>
      <c r="C10" s="4"/>
      <c r="D10" s="4"/>
      <c r="E10" s="4"/>
      <c r="F10" s="4"/>
      <c r="G10" s="4"/>
      <c r="H10" s="4"/>
    </row>
    <row r="11" customFormat="false" ht="15" hidden="false" customHeight="false" outlineLevel="0" collapsed="false">
      <c r="B11" s="32" t="s">
        <v>436</v>
      </c>
      <c r="C11" s="32" t="s">
        <v>437</v>
      </c>
      <c r="D11" s="32" t="s">
        <v>438</v>
      </c>
      <c r="E11" s="32" t="s">
        <v>439</v>
      </c>
    </row>
    <row r="12" customFormat="false" ht="15" hidden="false" customHeight="false" outlineLevel="0" collapsed="false">
      <c r="B12" s="9" t="s">
        <v>189</v>
      </c>
      <c r="C12" s="56" t="n">
        <f aca="false">C6</f>
        <v>327453.151298036</v>
      </c>
      <c r="D12" s="41" t="n">
        <v>0</v>
      </c>
      <c r="E12" s="56" t="n">
        <f aca="false">C12*D12</f>
        <v>0</v>
      </c>
    </row>
    <row r="13" customFormat="false" ht="15" hidden="false" customHeight="false" outlineLevel="0" collapsed="false">
      <c r="B13" s="9" t="s">
        <v>440</v>
      </c>
      <c r="C13" s="56" t="n">
        <f aca="false">C7</f>
        <v>960893.985981495</v>
      </c>
      <c r="D13" s="41" t="n">
        <v>0.6</v>
      </c>
      <c r="E13" s="56" t="n">
        <f aca="false">C13*D13</f>
        <v>576536.391588897</v>
      </c>
    </row>
    <row r="14" customFormat="false" ht="15" hidden="false" customHeight="false" outlineLevel="0" collapsed="false">
      <c r="B14" s="9" t="s">
        <v>441</v>
      </c>
      <c r="C14" s="56" t="n">
        <f aca="false">C8</f>
        <v>1037334.375</v>
      </c>
      <c r="D14" s="41" t="n">
        <v>0.4</v>
      </c>
      <c r="E14" s="56" t="n">
        <f aca="false">C14*D14</f>
        <v>414933.75</v>
      </c>
    </row>
    <row r="15" customFormat="false" ht="15" hidden="false" customHeight="false" outlineLevel="0" collapsed="false">
      <c r="B15" s="5" t="s">
        <v>442</v>
      </c>
      <c r="D15" s="42" t="n">
        <f aca="false">SUM(D12:D14)</f>
        <v>1</v>
      </c>
      <c r="E15" s="52" t="n">
        <f aca="false">SUM(E12:E14)</f>
        <v>991470.141588897</v>
      </c>
    </row>
    <row r="16" customFormat="false" ht="15" hidden="false" customHeight="false" outlineLevel="0" collapsed="false">
      <c r="B16" s="49" t="s">
        <v>443</v>
      </c>
      <c r="D16" s="57" t="str">
        <f aca="false">IF(ABS(D15-1)&lt;0.0001,"OK","≠ 100%")</f>
        <v>OK</v>
      </c>
    </row>
    <row r="18" customFormat="false" ht="18.75" hidden="false" customHeight="true" outlineLevel="0" collapsed="false">
      <c r="B18" s="4" t="s">
        <v>114</v>
      </c>
      <c r="C18" s="4"/>
      <c r="D18" s="4"/>
      <c r="E18" s="4"/>
      <c r="F18" s="4"/>
      <c r="G18" s="4"/>
      <c r="H18" s="4"/>
    </row>
    <row r="19" customFormat="false" ht="15" hidden="false" customHeight="false" outlineLevel="0" collapsed="false">
      <c r="B19" s="9" t="s">
        <v>444</v>
      </c>
      <c r="C19" s="52" t="n">
        <f aca="false">E15</f>
        <v>991470.141588897</v>
      </c>
    </row>
    <row r="20" customFormat="false" ht="15" hidden="false" customHeight="false" outlineLevel="0" collapsed="false">
      <c r="B20" s="19" t="s">
        <v>445</v>
      </c>
      <c r="C20" s="47" t="n">
        <f aca="false">ROUND(C19,-3)</f>
        <v>991000</v>
      </c>
    </row>
    <row r="22" customFormat="false" ht="57.75" hidden="false" customHeight="true" outlineLevel="0" collapsed="false">
      <c r="B22" s="5" t="s">
        <v>446</v>
      </c>
      <c r="C22" s="58" t="s">
        <v>447</v>
      </c>
      <c r="D22" s="58"/>
      <c r="E22" s="58"/>
      <c r="F22" s="58"/>
    </row>
    <row r="23" customFormat="false" ht="15" hidden="false" customHeight="false" outlineLevel="0" collapsed="false">
      <c r="C23" s="58"/>
      <c r="D23" s="58"/>
      <c r="E23" s="58"/>
      <c r="F23" s="58"/>
    </row>
    <row r="24" customFormat="false" ht="15" hidden="false" customHeight="false" outlineLevel="0" collapsed="false">
      <c r="C24" s="58"/>
      <c r="D24" s="58"/>
      <c r="E24" s="58"/>
      <c r="F24" s="58"/>
    </row>
    <row r="25" customFormat="false" ht="15" hidden="false" customHeight="false" outlineLevel="0" collapsed="false">
      <c r="C25" s="58"/>
      <c r="D25" s="58"/>
      <c r="E25" s="58"/>
      <c r="F25" s="58"/>
    </row>
    <row r="27" customFormat="false" ht="19.4" hidden="false" customHeight="true" outlineLevel="0" collapsed="false">
      <c r="B27" s="8" t="s">
        <v>448</v>
      </c>
      <c r="C27" s="8"/>
      <c r="D27" s="8"/>
      <c r="E27" s="8"/>
      <c r="F27" s="8"/>
      <c r="G27" s="8"/>
      <c r="H27" s="8"/>
    </row>
  </sheetData>
  <sheetProtection sheet="true" formatColumns="false" formatRows="false"/>
  <mergeCells count="7">
    <mergeCell ref="B2:H2"/>
    <mergeCell ref="B3:H3"/>
    <mergeCell ref="B5:H5"/>
    <mergeCell ref="B10:H10"/>
    <mergeCell ref="B18:H18"/>
    <mergeCell ref="C22:F25"/>
    <mergeCell ref="B27:H27"/>
  </mergeCells>
  <dataValidations count="2">
    <dataValidation allowBlank="true" error="Bitte einen Dezimalwert zwischen 0 und 1 eingeben (z. B. 0,045 für 4,5 %)." errorStyle="stop" errorTitle="Prozentwert ungültig" operator="between" prompt="Als Dezimalzahl: 0,045 = 4,5 %" promptTitle="Eingabe" showDropDown="false" showErrorMessage="true" showInputMessage="true" sqref="D12:D14" type="decimal">
      <formula1>0</formula1>
      <formula2>1</formula2>
    </dataValidation>
    <dataValidation allowBlank="true" error="Bitte eine Zahl eingeben (keinen Text)." errorStyle="stop" errorTitle="Eingabe ungültig" operator="between" showDropDown="false" showErrorMessage="true" showInputMessage="false" sqref="C20" type="decimal">
      <formula1>-1000000000000</formula1>
      <formula2>1000000000000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L4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5"/>
    <col collapsed="false" customWidth="true" hidden="false" outlineLevel="0" max="2" min="2" style="0" width="10"/>
    <col collapsed="false" customWidth="true" hidden="false" outlineLevel="0" max="12" min="3" style="0" width="11"/>
  </cols>
  <sheetData>
    <row r="2" customFormat="false" ht="30" hidden="false" customHeight="true" outlineLevel="0" collapsed="false">
      <c r="B2" s="1" t="s">
        <v>449</v>
      </c>
      <c r="C2" s="1"/>
      <c r="D2" s="1"/>
      <c r="E2" s="1"/>
      <c r="F2" s="1"/>
      <c r="G2" s="1"/>
      <c r="H2" s="1"/>
    </row>
    <row r="3" customFormat="false" ht="15.75" hidden="false" customHeight="true" outlineLevel="0" collapsed="false">
      <c r="B3" s="2" t="s">
        <v>450</v>
      </c>
      <c r="C3" s="2"/>
      <c r="D3" s="2"/>
      <c r="E3" s="2"/>
      <c r="F3" s="2"/>
      <c r="G3" s="2"/>
      <c r="H3" s="2"/>
    </row>
    <row r="5" customFormat="false" ht="18.75" hidden="false" customHeight="true" outlineLevel="0" collapsed="false">
      <c r="B5" s="4" t="s">
        <v>451</v>
      </c>
      <c r="C5" s="4"/>
      <c r="D5" s="4"/>
      <c r="E5" s="4"/>
      <c r="F5" s="4"/>
      <c r="G5" s="4"/>
      <c r="H5" s="4"/>
    </row>
    <row r="6" customFormat="false" ht="15" hidden="false" customHeight="false" outlineLevel="0" collapsed="false">
      <c r="B6" s="32" t="s">
        <v>452</v>
      </c>
      <c r="C6" s="59" t="n">
        <v>0.02</v>
      </c>
      <c r="D6" s="59" t="n">
        <v>0.025</v>
      </c>
      <c r="E6" s="59" t="n">
        <v>0.03</v>
      </c>
      <c r="F6" s="59" t="n">
        <v>0.035</v>
      </c>
      <c r="G6" s="59" t="n">
        <v>0.04</v>
      </c>
      <c r="H6" s="59" t="n">
        <v>0.045</v>
      </c>
      <c r="I6" s="59" t="n">
        <v>0.05</v>
      </c>
      <c r="J6" s="59" t="n">
        <v>0.06</v>
      </c>
      <c r="K6" s="59" t="n">
        <v>0.07</v>
      </c>
      <c r="L6" s="59" t="n">
        <v>0.08</v>
      </c>
    </row>
    <row r="7" customFormat="false" ht="15" hidden="false" customHeight="false" outlineLevel="0" collapsed="false">
      <c r="B7" s="60" t="n">
        <v>5</v>
      </c>
      <c r="C7" s="61" t="n">
        <f aca="false">((1+0.02)^5-1)/((1+0.02)^5*0.02)</f>
        <v>4.71345950850421</v>
      </c>
      <c r="D7" s="61" t="n">
        <f aca="false">((1+0.025)^5-1)/((1+0.025)^5*0.025)</f>
        <v>4.64582849561931</v>
      </c>
      <c r="E7" s="61" t="n">
        <f aca="false">((1+0.03)^5-1)/((1+0.03)^5*0.03)</f>
        <v>4.57970718719454</v>
      </c>
      <c r="F7" s="61" t="n">
        <f aca="false">((1+0.035)^5-1)/((1+0.035)^5*0.035)</f>
        <v>4.51505237547074</v>
      </c>
      <c r="G7" s="61" t="n">
        <f aca="false">((1+0.04)^5-1)/((1+0.04)^5*0.04)</f>
        <v>4.45182233101621</v>
      </c>
      <c r="H7" s="61" t="n">
        <f aca="false">((1+0.045)^5-1)/((1+0.045)^5*0.045)</f>
        <v>4.38997674442925</v>
      </c>
      <c r="I7" s="61" t="n">
        <f aca="false">((1+0.05)^5-1)/((1+0.05)^5*0.05)</f>
        <v>4.32947667063082</v>
      </c>
      <c r="J7" s="61" t="n">
        <f aca="false">((1+0.06)^5-1)/((1+0.06)^5*0.06)</f>
        <v>4.21236378556572</v>
      </c>
      <c r="K7" s="61" t="n">
        <f aca="false">((1+0.07)^5-1)/((1+0.07)^5*0.07)</f>
        <v>4.1001974359476</v>
      </c>
      <c r="L7" s="61" t="n">
        <f aca="false">((1+0.08)^5-1)/((1+0.08)^5*0.08)</f>
        <v>3.99271003707809</v>
      </c>
    </row>
    <row r="8" customFormat="false" ht="15" hidden="false" customHeight="false" outlineLevel="0" collapsed="false">
      <c r="B8" s="60" t="n">
        <v>10</v>
      </c>
      <c r="C8" s="61" t="n">
        <f aca="false">((1+0.02)^10-1)/((1+0.02)^10*0.02)</f>
        <v>8.98258500624224</v>
      </c>
      <c r="D8" s="61" t="n">
        <f aca="false">((1+0.025)^10-1)/((1+0.025)^10*0.025)</f>
        <v>8.75206393097091</v>
      </c>
      <c r="E8" s="61" t="n">
        <f aca="false">((1+0.03)^10-1)/((1+0.03)^10*0.03)</f>
        <v>8.53020283677584</v>
      </c>
      <c r="F8" s="61" t="n">
        <f aca="false">((1+0.035)^10-1)/((1+0.035)^10*0.035)</f>
        <v>8.31660532257794</v>
      </c>
      <c r="G8" s="61" t="n">
        <f aca="false">((1+0.04)^10-1)/((1+0.04)^10*0.04)</f>
        <v>8.11089577935503</v>
      </c>
      <c r="H8" s="61" t="n">
        <f aca="false">((1+0.045)^10-1)/((1+0.045)^10*0.045)</f>
        <v>7.91271817711016</v>
      </c>
      <c r="I8" s="61" t="n">
        <f aca="false">((1+0.05)^10-1)/((1+0.05)^10*0.05)</f>
        <v>7.72173492918482</v>
      </c>
      <c r="J8" s="61" t="n">
        <f aca="false">((1+0.06)^10-1)/((1+0.06)^10*0.06)</f>
        <v>7.3600870514147</v>
      </c>
      <c r="K8" s="61" t="n">
        <f aca="false">((1+0.07)^10-1)/((1+0.07)^10*0.07)</f>
        <v>7.02358154093261</v>
      </c>
      <c r="L8" s="61" t="n">
        <f aca="false">((1+0.08)^10-1)/((1+0.08)^10*0.08)</f>
        <v>6.71008139894145</v>
      </c>
    </row>
    <row r="9" customFormat="false" ht="15" hidden="false" customHeight="false" outlineLevel="0" collapsed="false">
      <c r="B9" s="60" t="n">
        <v>15</v>
      </c>
      <c r="C9" s="61" t="n">
        <f aca="false">((1+0.02)^15-1)/((1+0.02)^15*0.02)</f>
        <v>12.8492635005741</v>
      </c>
      <c r="D9" s="61" t="n">
        <f aca="false">((1+0.025)^15-1)/((1+0.025)^15*0.025)</f>
        <v>12.3813777264406</v>
      </c>
      <c r="E9" s="61" t="n">
        <f aca="false">((1+0.03)^15-1)/((1+0.03)^15*0.03)</f>
        <v>11.9379350867761</v>
      </c>
      <c r="F9" s="61" t="n">
        <f aca="false">((1+0.035)^15-1)/((1+0.035)^15*0.035)</f>
        <v>11.5174108964341</v>
      </c>
      <c r="G9" s="61" t="n">
        <f aca="false">((1+0.04)^15-1)/((1+0.04)^15*0.04)</f>
        <v>11.1183874321681</v>
      </c>
      <c r="H9" s="61" t="n">
        <f aca="false">((1+0.045)^15-1)/((1+0.045)^15*0.045)</f>
        <v>10.7395457263163</v>
      </c>
      <c r="I9" s="61" t="n">
        <f aca="false">((1+0.05)^15-1)/((1+0.05)^15*0.05)</f>
        <v>10.3796580381806</v>
      </c>
      <c r="J9" s="61" t="n">
        <f aca="false">((1+0.06)^15-1)/((1+0.06)^15*0.06)</f>
        <v>9.71224898774099</v>
      </c>
      <c r="K9" s="61" t="n">
        <f aca="false">((1+0.07)^15-1)/((1+0.07)^15*0.07)</f>
        <v>9.10791400510915</v>
      </c>
      <c r="L9" s="61" t="n">
        <f aca="false">((1+0.08)^15-1)/((1+0.08)^15*0.08)</f>
        <v>8.55947868792638</v>
      </c>
    </row>
    <row r="10" customFormat="false" ht="15" hidden="false" customHeight="false" outlineLevel="0" collapsed="false">
      <c r="B10" s="60" t="n">
        <v>20</v>
      </c>
      <c r="C10" s="61" t="n">
        <f aca="false">((1+0.02)^20-1)/((1+0.02)^20*0.02)</f>
        <v>16.3514333445971</v>
      </c>
      <c r="D10" s="61" t="n">
        <f aca="false">((1+0.025)^20-1)/((1+0.025)^20*0.025)</f>
        <v>15.5891622856468</v>
      </c>
      <c r="E10" s="61" t="n">
        <f aca="false">((1+0.03)^20-1)/((1+0.03)^20*0.03)</f>
        <v>14.8774748604555</v>
      </c>
      <c r="F10" s="61" t="n">
        <f aca="false">((1+0.035)^20-1)/((1+0.035)^20*0.035)</f>
        <v>14.2124033019523</v>
      </c>
      <c r="G10" s="61" t="n">
        <f aca="false">((1+0.04)^20-1)/((1+0.04)^20*0.04)</f>
        <v>13.5903263449677</v>
      </c>
      <c r="H10" s="61" t="n">
        <f aca="false">((1+0.045)^20-1)/((1+0.045)^20*0.045)</f>
        <v>13.0079364514537</v>
      </c>
      <c r="I10" s="61" t="n">
        <f aca="false">((1+0.05)^20-1)/((1+0.05)^20*0.05)</f>
        <v>12.46221034254</v>
      </c>
      <c r="J10" s="61" t="n">
        <f aca="false">((1+0.06)^20-1)/((1+0.06)^20*0.06)</f>
        <v>11.4699212185653</v>
      </c>
      <c r="K10" s="61" t="n">
        <f aca="false">((1+0.07)^20-1)/((1+0.07)^20*0.07)</f>
        <v>10.5940142455162</v>
      </c>
      <c r="L10" s="61" t="n">
        <f aca="false">((1+0.08)^20-1)/((1+0.08)^20*0.08)</f>
        <v>9.81814740744929</v>
      </c>
    </row>
    <row r="11" customFormat="false" ht="15" hidden="false" customHeight="false" outlineLevel="0" collapsed="false">
      <c r="B11" s="60" t="n">
        <v>25</v>
      </c>
      <c r="C11" s="61" t="n">
        <f aca="false">((1+0.02)^25-1)/((1+0.02)^25*0.02)</f>
        <v>19.5234564735861</v>
      </c>
      <c r="D11" s="61" t="n">
        <f aca="false">((1+0.025)^25-1)/((1+0.025)^25*0.025)</f>
        <v>18.4243764220288</v>
      </c>
      <c r="E11" s="61" t="n">
        <f aca="false">((1+0.03)^25-1)/((1+0.03)^25*0.03)</f>
        <v>17.413147691278</v>
      </c>
      <c r="F11" s="61" t="n">
        <f aca="false">((1+0.035)^25-1)/((1+0.035)^25*0.035)</f>
        <v>16.481514592286</v>
      </c>
      <c r="G11" s="61" t="n">
        <f aca="false">((1+0.04)^25-1)/((1+0.04)^25*0.04)</f>
        <v>15.6220799436509</v>
      </c>
      <c r="H11" s="61" t="n">
        <f aca="false">((1+0.045)^25-1)/((1+0.045)^25*0.045)</f>
        <v>14.8282089627127</v>
      </c>
      <c r="I11" s="61" t="n">
        <f aca="false">((1+0.05)^25-1)/((1+0.05)^25*0.05)</f>
        <v>14.0939445660448</v>
      </c>
      <c r="J11" s="61" t="n">
        <f aca="false">((1+0.06)^25-1)/((1+0.06)^25*0.06)</f>
        <v>12.7833561582684</v>
      </c>
      <c r="K11" s="61" t="n">
        <f aca="false">((1+0.07)^25-1)/((1+0.07)^25*0.07)</f>
        <v>11.6535831782537</v>
      </c>
      <c r="L11" s="61" t="n">
        <f aca="false">((1+0.08)^25-1)/((1+0.08)^25*0.08)</f>
        <v>10.6747761885886</v>
      </c>
    </row>
    <row r="12" customFormat="false" ht="15" hidden="false" customHeight="false" outlineLevel="0" collapsed="false">
      <c r="B12" s="60" t="n">
        <v>30</v>
      </c>
      <c r="C12" s="61" t="n">
        <f aca="false">((1+0.02)^30-1)/((1+0.02)^30*0.02)</f>
        <v>22.3964555510044</v>
      </c>
      <c r="D12" s="61" t="n">
        <f aca="false">((1+0.025)^30-1)/((1+0.025)^30*0.025)</f>
        <v>20.9302925927611</v>
      </c>
      <c r="E12" s="61" t="n">
        <f aca="false">((1+0.03)^30-1)/((1+0.03)^30*0.03)</f>
        <v>19.6004413494698</v>
      </c>
      <c r="F12" s="61" t="n">
        <f aca="false">((1+0.035)^30-1)/((1+0.035)^30*0.035)</f>
        <v>18.3920454113628</v>
      </c>
      <c r="G12" s="61" t="n">
        <f aca="false">((1+0.04)^30-1)/((1+0.04)^30*0.04)</f>
        <v>17.2920333006645</v>
      </c>
      <c r="H12" s="61" t="n">
        <f aca="false">((1+0.045)^30-1)/((1+0.045)^30*0.045)</f>
        <v>16.2888885442888</v>
      </c>
      <c r="I12" s="61" t="n">
        <f aca="false">((1+0.05)^30-1)/((1+0.05)^30*0.05)</f>
        <v>15.3724510268828</v>
      </c>
      <c r="J12" s="61" t="n">
        <f aca="false">((1+0.06)^30-1)/((1+0.06)^30*0.06)</f>
        <v>13.7648311514894</v>
      </c>
      <c r="K12" s="61" t="n">
        <f aca="false">((1+0.07)^30-1)/((1+0.07)^30*0.07)</f>
        <v>12.4090411835059</v>
      </c>
      <c r="L12" s="61" t="n">
        <f aca="false">((1+0.08)^30-1)/((1+0.08)^30*0.08)</f>
        <v>11.2577833431275</v>
      </c>
    </row>
    <row r="13" customFormat="false" ht="15" hidden="false" customHeight="false" outlineLevel="0" collapsed="false">
      <c r="B13" s="60" t="n">
        <v>35</v>
      </c>
      <c r="C13" s="61" t="n">
        <f aca="false">((1+0.02)^35-1)/((1+0.02)^35*0.02)</f>
        <v>24.9986193320352</v>
      </c>
      <c r="D13" s="61" t="n">
        <f aca="false">((1+0.025)^35-1)/((1+0.025)^35*0.025)</f>
        <v>23.145157344653</v>
      </c>
      <c r="E13" s="61" t="n">
        <f aca="false">((1+0.03)^35-1)/((1+0.03)^35*0.03)</f>
        <v>21.4872200730538</v>
      </c>
      <c r="F13" s="61" t="n">
        <f aca="false">((1+0.035)^35-1)/((1+0.035)^35*0.035)</f>
        <v>20.0006610954817</v>
      </c>
      <c r="G13" s="61" t="n">
        <f aca="false">((1+0.04)^35-1)/((1+0.04)^35*0.04)</f>
        <v>18.6646132318177</v>
      </c>
      <c r="H13" s="61" t="n">
        <f aca="false">((1+0.045)^35-1)/((1+0.045)^35*0.045)</f>
        <v>17.4610124031268</v>
      </c>
      <c r="I13" s="61" t="n">
        <f aca="false">((1+0.05)^35-1)/((1+0.05)^35*0.05)</f>
        <v>16.3741942929485</v>
      </c>
      <c r="J13" s="61" t="n">
        <f aca="false">((1+0.06)^35-1)/((1+0.06)^35*0.06)</f>
        <v>14.4982463616375</v>
      </c>
      <c r="K13" s="61" t="n">
        <f aca="false">((1+0.07)^35-1)/((1+0.07)^35*0.07)</f>
        <v>12.9476723004309</v>
      </c>
      <c r="L13" s="61" t="n">
        <f aca="false">((1+0.08)^35-1)/((1+0.08)^35*0.08)</f>
        <v>11.6545682162571</v>
      </c>
    </row>
    <row r="14" customFormat="false" ht="15" hidden="false" customHeight="false" outlineLevel="0" collapsed="false">
      <c r="B14" s="60" t="n">
        <v>40</v>
      </c>
      <c r="C14" s="61" t="n">
        <f aca="false">((1+0.02)^40-1)/((1+0.02)^40*0.02)</f>
        <v>27.3554792407382</v>
      </c>
      <c r="D14" s="61" t="n">
        <f aca="false">((1+0.025)^40-1)/((1+0.025)^40*0.025)</f>
        <v>25.1027750520877</v>
      </c>
      <c r="E14" s="61" t="n">
        <f aca="false">((1+0.03)^40-1)/((1+0.03)^40*0.03)</f>
        <v>23.1147719742065</v>
      </c>
      <c r="F14" s="61" t="n">
        <f aca="false">((1+0.035)^40-1)/((1+0.035)^40*0.035)</f>
        <v>21.3550723372975</v>
      </c>
      <c r="G14" s="61" t="n">
        <f aca="false">((1+0.04)^40-1)/((1+0.04)^40*0.04)</f>
        <v>19.7927738834265</v>
      </c>
      <c r="H14" s="61" t="n">
        <f aca="false">((1+0.045)^40-1)/((1+0.045)^40*0.045)</f>
        <v>18.4015844202798</v>
      </c>
      <c r="I14" s="61" t="n">
        <f aca="false">((1+0.05)^40-1)/((1+0.05)^40*0.05)</f>
        <v>17.1590863539944</v>
      </c>
      <c r="J14" s="61" t="n">
        <f aca="false">((1+0.06)^40-1)/((1+0.06)^40*0.06)</f>
        <v>15.0462968715249</v>
      </c>
      <c r="K14" s="61" t="n">
        <f aca="false">((1+0.07)^40-1)/((1+0.07)^40*0.07)</f>
        <v>13.3317088426384</v>
      </c>
      <c r="L14" s="61" t="n">
        <f aca="false">((1+0.08)^40-1)/((1+0.08)^40*0.08)</f>
        <v>11.9246133337463</v>
      </c>
    </row>
    <row r="15" customFormat="false" ht="15" hidden="false" customHeight="false" outlineLevel="0" collapsed="false">
      <c r="B15" s="60" t="n">
        <v>45</v>
      </c>
      <c r="C15" s="61" t="n">
        <f aca="false">((1+0.02)^45-1)/((1+0.02)^45*0.02)</f>
        <v>29.4901598745035</v>
      </c>
      <c r="D15" s="61" t="n">
        <f aca="false">((1+0.025)^45-1)/((1+0.025)^45*0.025)</f>
        <v>26.8330238563043</v>
      </c>
      <c r="E15" s="61" t="n">
        <f aca="false">((1+0.03)^45-1)/((1+0.03)^45*0.03)</f>
        <v>24.5187125411819</v>
      </c>
      <c r="F15" s="61" t="n">
        <f aca="false">((1+0.035)^45-1)/((1+0.035)^45*0.035)</f>
        <v>22.495450259798</v>
      </c>
      <c r="G15" s="61" t="n">
        <f aca="false">((1+0.04)^45-1)/((1+0.04)^45*0.04)</f>
        <v>20.720039703763</v>
      </c>
      <c r="H15" s="61" t="n">
        <f aca="false">((1+0.045)^45-1)/((1+0.045)^45*0.045)</f>
        <v>19.1563474197534</v>
      </c>
      <c r="I15" s="61" t="n">
        <f aca="false">((1+0.05)^45-1)/((1+0.05)^45*0.05)</f>
        <v>17.7740698216773</v>
      </c>
      <c r="J15" s="61" t="n">
        <f aca="false">((1+0.06)^45-1)/((1+0.06)^45*0.06)</f>
        <v>15.4558320941817</v>
      </c>
      <c r="K15" s="61" t="n">
        <f aca="false">((1+0.07)^45-1)/((1+0.07)^45*0.07)</f>
        <v>13.605521589649</v>
      </c>
      <c r="L15" s="61" t="n">
        <f aca="false">((1+0.08)^45-1)/((1+0.08)^45*0.08)</f>
        <v>12.1084015031505</v>
      </c>
    </row>
    <row r="16" customFormat="false" ht="15" hidden="false" customHeight="false" outlineLevel="0" collapsed="false">
      <c r="B16" s="60" t="n">
        <v>50</v>
      </c>
      <c r="C16" s="61" t="n">
        <f aca="false">((1+0.02)^50-1)/((1+0.02)^50*0.02)</f>
        <v>31.4236058936519</v>
      </c>
      <c r="D16" s="61" t="n">
        <f aca="false">((1+0.025)^50-1)/((1+0.025)^50*0.025)</f>
        <v>28.3623116805423</v>
      </c>
      <c r="E16" s="61" t="n">
        <f aca="false">((1+0.03)^50-1)/((1+0.03)^50*0.03)</f>
        <v>25.7297640070082</v>
      </c>
      <c r="F16" s="61" t="n">
        <f aca="false">((1+0.035)^50-1)/((1+0.035)^50*0.035)</f>
        <v>23.4556178706213</v>
      </c>
      <c r="G16" s="61" t="n">
        <f aca="false">((1+0.04)^50-1)/((1+0.04)^50*0.04)</f>
        <v>21.482184616669</v>
      </c>
      <c r="H16" s="61" t="n">
        <f aca="false">((1+0.045)^50-1)/((1+0.045)^50*0.045)</f>
        <v>19.7620077785411</v>
      </c>
      <c r="I16" s="61" t="n">
        <f aca="false">((1+0.05)^50-1)/((1+0.05)^50*0.05)</f>
        <v>18.2559254605524</v>
      </c>
      <c r="J16" s="61" t="n">
        <f aca="false">((1+0.06)^50-1)/((1+0.06)^50*0.06)</f>
        <v>15.7618606363885</v>
      </c>
      <c r="K16" s="61" t="n">
        <f aca="false">((1+0.07)^50-1)/((1+0.07)^50*0.07)</f>
        <v>13.800746294034</v>
      </c>
      <c r="L16" s="61" t="n">
        <f aca="false">((1+0.08)^50-1)/((1+0.08)^50*0.08)</f>
        <v>12.2334846430605</v>
      </c>
    </row>
    <row r="17" customFormat="false" ht="15" hidden="false" customHeight="false" outlineLevel="0" collapsed="false">
      <c r="B17" s="60" t="n">
        <v>55</v>
      </c>
      <c r="C17" s="61" t="n">
        <f aca="false">((1+0.02)^55-1)/((1+0.02)^55*0.02)</f>
        <v>33.1747875223377</v>
      </c>
      <c r="D17" s="61" t="n">
        <f aca="false">((1+0.025)^55-1)/((1+0.025)^55*0.025)</f>
        <v>29.7139792809841</v>
      </c>
      <c r="E17" s="61" t="n">
        <f aca="false">((1+0.03)^55-1)/((1+0.03)^55*0.03)</f>
        <v>26.7744276397713</v>
      </c>
      <c r="F17" s="61" t="n">
        <f aca="false">((1+0.035)^55-1)/((1+0.035)^55*0.035)</f>
        <v>24.2640532346211</v>
      </c>
      <c r="G17" s="61" t="n">
        <f aca="false">((1+0.04)^55-1)/((1+0.04)^55*0.04)</f>
        <v>22.1086121798652</v>
      </c>
      <c r="H17" s="61" t="n">
        <f aca="false">((1+0.045)^55-1)/((1+0.045)^55*0.045)</f>
        <v>20.2480205672742</v>
      </c>
      <c r="I17" s="61" t="n">
        <f aca="false">((1+0.05)^55-1)/((1+0.05)^55*0.05)</f>
        <v>18.6334719620714</v>
      </c>
      <c r="J17" s="61" t="n">
        <f aca="false">((1+0.06)^55-1)/((1+0.06)^55*0.06)</f>
        <v>15.9905429656828</v>
      </c>
      <c r="K17" s="61" t="n">
        <f aca="false">((1+0.07)^55-1)/((1+0.07)^55*0.07)</f>
        <v>13.9399388101543</v>
      </c>
      <c r="L17" s="61" t="n">
        <f aca="false">((1+0.08)^55-1)/((1+0.08)^55*0.08)</f>
        <v>12.3186141263156</v>
      </c>
    </row>
    <row r="18" customFormat="false" ht="15" hidden="false" customHeight="false" outlineLevel="0" collapsed="false">
      <c r="B18" s="60" t="n">
        <v>60</v>
      </c>
      <c r="C18" s="61" t="n">
        <f aca="false">((1+0.02)^60-1)/((1+0.02)^60*0.02)</f>
        <v>34.7608866770465</v>
      </c>
      <c r="D18" s="61" t="n">
        <f aca="false">((1+0.025)^60-1)/((1+0.025)^60*0.025)</f>
        <v>30.9086564850575</v>
      </c>
      <c r="E18" s="61" t="n">
        <f aca="false">((1+0.03)^60-1)/((1+0.03)^60*0.03)</f>
        <v>27.6755636661194</v>
      </c>
      <c r="F18" s="61" t="n">
        <f aca="false">((1+0.035)^60-1)/((1+0.035)^60*0.035)</f>
        <v>24.9447341182485</v>
      </c>
      <c r="G18" s="61" t="n">
        <f aca="false">((1+0.04)^60-1)/((1+0.04)^60*0.04)</f>
        <v>22.6234899744774</v>
      </c>
      <c r="H18" s="61" t="n">
        <f aca="false">((1+0.045)^60-1)/((1+0.045)^60*0.045)</f>
        <v>20.6380220382058</v>
      </c>
      <c r="I18" s="61" t="n">
        <f aca="false">((1+0.05)^60-1)/((1+0.05)^60*0.05)</f>
        <v>18.9292895250701</v>
      </c>
      <c r="J18" s="61" t="n">
        <f aca="false">((1+0.06)^60-1)/((1+0.06)^60*0.06)</f>
        <v>16.161427705238</v>
      </c>
      <c r="K18" s="61" t="n">
        <f aca="false">((1+0.07)^60-1)/((1+0.07)^60*0.07)</f>
        <v>14.0391811504356</v>
      </c>
      <c r="L18" s="61" t="n">
        <f aca="false">((1+0.08)^60-1)/((1+0.08)^60*0.08)</f>
        <v>12.3765518221911</v>
      </c>
    </row>
    <row r="19" customFormat="false" ht="15" hidden="false" customHeight="false" outlineLevel="0" collapsed="false">
      <c r="B19" s="60" t="n">
        <v>65</v>
      </c>
      <c r="C19" s="61" t="n">
        <f aca="false">((1+0.02)^65-1)/((1+0.02)^65*0.02)</f>
        <v>36.1974655489115</v>
      </c>
      <c r="D19" s="61" t="n">
        <f aca="false">((1+0.025)^65-1)/((1+0.025)^65*0.025)</f>
        <v>31.9645770541871</v>
      </c>
      <c r="E19" s="61" t="n">
        <f aca="false">((1+0.03)^65-1)/((1+0.03)^65*0.03)</f>
        <v>28.4528915183723</v>
      </c>
      <c r="F19" s="61" t="n">
        <f aca="false">((1+0.035)^65-1)/((1+0.035)^65*0.035)</f>
        <v>25.5178491574563</v>
      </c>
      <c r="G19" s="61" t="n">
        <f aca="false">((1+0.04)^65-1)/((1+0.04)^65*0.04)</f>
        <v>23.0466819905376</v>
      </c>
      <c r="H19" s="61" t="n">
        <f aca="false">((1+0.045)^65-1)/((1+0.045)^65*0.045)</f>
        <v>20.9509791266917</v>
      </c>
      <c r="I19" s="61" t="n">
        <f aca="false">((1+0.05)^65-1)/((1+0.05)^65*0.05)</f>
        <v>19.1610703261806</v>
      </c>
      <c r="J19" s="61" t="n">
        <f aca="false">((1+0.06)^65-1)/((1+0.06)^65*0.06)</f>
        <v>16.2891227234888</v>
      </c>
      <c r="K19" s="61" t="n">
        <f aca="false">((1+0.07)^65-1)/((1+0.07)^65*0.07)</f>
        <v>14.1099395674758</v>
      </c>
      <c r="L19" s="61" t="n">
        <f aca="false">((1+0.08)^65-1)/((1+0.08)^65*0.08)</f>
        <v>12.4159832444788</v>
      </c>
    </row>
    <row r="20" customFormat="false" ht="15" hidden="false" customHeight="false" outlineLevel="0" collapsed="false">
      <c r="B20" s="60" t="n">
        <v>70</v>
      </c>
      <c r="C20" s="61" t="n">
        <f aca="false">((1+0.02)^70-1)/((1+0.02)^70*0.02)</f>
        <v>37.4986192939103</v>
      </c>
      <c r="D20" s="61" t="n">
        <f aca="false">((1+0.025)^70-1)/((1+0.025)^70*0.025)</f>
        <v>32.8978569765874</v>
      </c>
      <c r="E20" s="61" t="n">
        <f aca="false">((1+0.03)^70-1)/((1+0.03)^70*0.03)</f>
        <v>29.1234213520722</v>
      </c>
      <c r="F20" s="61" t="n">
        <f aca="false">((1+0.035)^70-1)/((1+0.035)^70*0.035)</f>
        <v>26.0003966419923</v>
      </c>
      <c r="G20" s="61" t="n">
        <f aca="false">((1+0.04)^70-1)/((1+0.04)^70*0.04)</f>
        <v>23.3945149799016</v>
      </c>
      <c r="H20" s="61" t="n">
        <f aca="false">((1+0.045)^70-1)/((1+0.045)^70*0.045)</f>
        <v>21.202111869857</v>
      </c>
      <c r="I20" s="61" t="n">
        <f aca="false">((1+0.05)^70-1)/((1+0.05)^70*0.05)</f>
        <v>19.3426766487356</v>
      </c>
      <c r="J20" s="61" t="n">
        <f aca="false">((1+0.06)^70-1)/((1+0.06)^70*0.06)</f>
        <v>16.3845438695109</v>
      </c>
      <c r="K20" s="61" t="n">
        <f aca="false">((1+0.07)^70-1)/((1+0.07)^70*0.07)</f>
        <v>14.1603893409076</v>
      </c>
      <c r="L20" s="61" t="n">
        <f aca="false">((1+0.08)^70-1)/((1+0.08)^70*0.08)</f>
        <v>12.442819607923</v>
      </c>
    </row>
    <row r="21" customFormat="false" ht="15" hidden="false" customHeight="false" outlineLevel="0" collapsed="false">
      <c r="B21" s="60" t="n">
        <v>75</v>
      </c>
      <c r="C21" s="61" t="n">
        <f aca="false">((1+0.02)^75-1)/((1+0.02)^75*0.02)</f>
        <v>38.6771143290813</v>
      </c>
      <c r="D21" s="61" t="n">
        <f aca="false">((1+0.025)^75-1)/((1+0.025)^75*0.025)</f>
        <v>33.7227404375407</v>
      </c>
      <c r="E21" s="61" t="n">
        <f aca="false">((1+0.03)^75-1)/((1+0.03)^75*0.03)</f>
        <v>29.7018262768133</v>
      </c>
      <c r="F21" s="61" t="n">
        <f aca="false">((1+0.035)^75-1)/((1+0.035)^75*0.035)</f>
        <v>26.4066886757068</v>
      </c>
      <c r="G21" s="61" t="n">
        <f aca="false">((1+0.04)^75-1)/((1+0.04)^75*0.04)</f>
        <v>23.6804083424851</v>
      </c>
      <c r="H21" s="61" t="n">
        <f aca="false">((1+0.045)^75-1)/((1+0.045)^75*0.045)</f>
        <v>21.4036336024205</v>
      </c>
      <c r="I21" s="61" t="n">
        <f aca="false">((1+0.05)^75-1)/((1+0.05)^75*0.05)</f>
        <v>19.4849699544536</v>
      </c>
      <c r="J21" s="61" t="n">
        <f aca="false">((1+0.06)^75-1)/((1+0.06)^75*0.06)</f>
        <v>16.4558481007402</v>
      </c>
      <c r="K21" s="61" t="n">
        <f aca="false">((1+0.07)^75-1)/((1+0.07)^75*0.07)</f>
        <v>14.1963593321226</v>
      </c>
      <c r="L21" s="61" t="n">
        <f aca="false">((1+0.08)^75-1)/((1+0.08)^75*0.08)</f>
        <v>12.4610839859526</v>
      </c>
    </row>
    <row r="22" customFormat="false" ht="15" hidden="false" customHeight="false" outlineLevel="0" collapsed="false">
      <c r="B22" s="60" t="n">
        <v>80</v>
      </c>
      <c r="C22" s="61" t="n">
        <f aca="false">((1+0.02)^80-1)/((1+0.02)^80*0.02)</f>
        <v>39.7445135916672</v>
      </c>
      <c r="D22" s="61" t="n">
        <f aca="false">((1+0.025)^80-1)/((1+0.025)^80*0.025)</f>
        <v>34.4518172212825</v>
      </c>
      <c r="E22" s="61" t="n">
        <f aca="false">((1+0.03)^80-1)/((1+0.03)^80*0.03)</f>
        <v>30.2007634458261</v>
      </c>
      <c r="F22" s="61" t="n">
        <f aca="false">((1+0.035)^80-1)/((1+0.035)^80*0.035)</f>
        <v>26.7487756660027</v>
      </c>
      <c r="G22" s="61" t="n">
        <f aca="false">((1+0.04)^80-1)/((1+0.04)^80*0.04)</f>
        <v>23.915391846835</v>
      </c>
      <c r="H22" s="61" t="n">
        <f aca="false">((1+0.045)^80-1)/((1+0.045)^80*0.045)</f>
        <v>21.5653449276088</v>
      </c>
      <c r="I22" s="61" t="n">
        <f aca="false">((1+0.05)^80-1)/((1+0.05)^80*0.05)</f>
        <v>19.596460482797</v>
      </c>
      <c r="J22" s="61" t="n">
        <f aca="false">((1+0.06)^80-1)/((1+0.06)^80*0.06)</f>
        <v>16.5091307702862</v>
      </c>
      <c r="K22" s="61" t="n">
        <f aca="false">((1+0.07)^80-1)/((1+0.07)^80*0.07)</f>
        <v>14.222005438735</v>
      </c>
      <c r="L22" s="61" t="n">
        <f aca="false">((1+0.08)^80-1)/((1+0.08)^80*0.08)</f>
        <v>12.4735144147438</v>
      </c>
    </row>
    <row r="24" customFormat="false" ht="18.75" hidden="false" customHeight="true" outlineLevel="0" collapsed="false">
      <c r="B24" s="4" t="s">
        <v>453</v>
      </c>
      <c r="C24" s="4"/>
      <c r="D24" s="4"/>
      <c r="E24" s="4"/>
      <c r="F24" s="4"/>
      <c r="G24" s="4"/>
      <c r="H24" s="4"/>
    </row>
    <row r="25" customFormat="false" ht="15" hidden="false" customHeight="false" outlineLevel="0" collapsed="false">
      <c r="B25" s="32" t="s">
        <v>452</v>
      </c>
      <c r="C25" s="59" t="n">
        <v>0.02</v>
      </c>
      <c r="D25" s="59" t="n">
        <v>0.025</v>
      </c>
      <c r="E25" s="59" t="n">
        <v>0.03</v>
      </c>
      <c r="F25" s="59" t="n">
        <v>0.035</v>
      </c>
      <c r="G25" s="59" t="n">
        <v>0.04</v>
      </c>
      <c r="H25" s="59" t="n">
        <v>0.045</v>
      </c>
      <c r="I25" s="59" t="n">
        <v>0.05</v>
      </c>
      <c r="J25" s="59" t="n">
        <v>0.06</v>
      </c>
      <c r="K25" s="59" t="n">
        <v>0.07</v>
      </c>
      <c r="L25" s="59" t="n">
        <v>0.08</v>
      </c>
    </row>
    <row r="26" customFormat="false" ht="15" hidden="false" customHeight="false" outlineLevel="0" collapsed="false">
      <c r="B26" s="60" t="n">
        <v>5</v>
      </c>
      <c r="C26" s="62" t="n">
        <f aca="false">1/(1+0.02)^5</f>
        <v>0.905730809829916</v>
      </c>
      <c r="D26" s="62" t="n">
        <f aca="false">1/(1+0.025)^5</f>
        <v>0.883854287609517</v>
      </c>
      <c r="E26" s="62" t="n">
        <f aca="false">1/(1+0.03)^5</f>
        <v>0.862608784384164</v>
      </c>
      <c r="F26" s="62" t="n">
        <f aca="false">1/(1+0.035)^5</f>
        <v>0.841973166858524</v>
      </c>
      <c r="G26" s="62" t="n">
        <f aca="false">1/(1+0.04)^5</f>
        <v>0.821927106759352</v>
      </c>
      <c r="H26" s="62" t="n">
        <f aca="false">1/(1+0.045)^5</f>
        <v>0.802451046500684</v>
      </c>
      <c r="I26" s="62" t="n">
        <f aca="false">1/(1+0.05)^5</f>
        <v>0.783526166468459</v>
      </c>
      <c r="J26" s="62" t="n">
        <f aca="false">1/(1+0.06)^5</f>
        <v>0.747258172866057</v>
      </c>
      <c r="K26" s="62" t="n">
        <f aca="false">1/(1+0.07)^5</f>
        <v>0.712986179483668</v>
      </c>
      <c r="L26" s="62" t="n">
        <f aca="false">1/(1+0.08)^5</f>
        <v>0.680583197033753</v>
      </c>
    </row>
    <row r="27" customFormat="false" ht="15" hidden="false" customHeight="false" outlineLevel="0" collapsed="false">
      <c r="B27" s="60" t="n">
        <v>10</v>
      </c>
      <c r="C27" s="62" t="n">
        <f aca="false">1/(1+0.02)^10</f>
        <v>0.820348299875155</v>
      </c>
      <c r="D27" s="62" t="n">
        <f aca="false">1/(1+0.025)^10</f>
        <v>0.781198401725727</v>
      </c>
      <c r="E27" s="62" t="n">
        <f aca="false">1/(1+0.03)^10</f>
        <v>0.744093914896725</v>
      </c>
      <c r="F27" s="62" t="n">
        <f aca="false">1/(1+0.035)^10</f>
        <v>0.708918813709772</v>
      </c>
      <c r="G27" s="62" t="n">
        <f aca="false">1/(1+0.04)^10</f>
        <v>0.675564168825799</v>
      </c>
      <c r="H27" s="62" t="n">
        <f aca="false">1/(1+0.045)^10</f>
        <v>0.643927682030043</v>
      </c>
      <c r="I27" s="62" t="n">
        <f aca="false">1/(1+0.05)^10</f>
        <v>0.613913253540759</v>
      </c>
      <c r="J27" s="62" t="n">
        <f aca="false">1/(1+0.06)^10</f>
        <v>0.558394776915118</v>
      </c>
      <c r="K27" s="62" t="n">
        <f aca="false">1/(1+0.07)^10</f>
        <v>0.508349292134718</v>
      </c>
      <c r="L27" s="62" t="n">
        <f aca="false">1/(1+0.08)^10</f>
        <v>0.463193488084684</v>
      </c>
    </row>
    <row r="28" customFormat="false" ht="15" hidden="false" customHeight="false" outlineLevel="0" collapsed="false">
      <c r="B28" s="60" t="n">
        <v>15</v>
      </c>
      <c r="C28" s="62" t="n">
        <f aca="false">1/(1+0.02)^15</f>
        <v>0.743014729988519</v>
      </c>
      <c r="D28" s="62" t="n">
        <f aca="false">1/(1+0.025)^15</f>
        <v>0.690465556838986</v>
      </c>
      <c r="E28" s="62" t="n">
        <f aca="false">1/(1+0.03)^15</f>
        <v>0.641861947396717</v>
      </c>
      <c r="F28" s="62" t="n">
        <f aca="false">1/(1+0.035)^15</f>
        <v>0.596890618624805</v>
      </c>
      <c r="G28" s="62" t="n">
        <f aca="false">1/(1+0.04)^15</f>
        <v>0.555264502713275</v>
      </c>
      <c r="H28" s="62" t="n">
        <f aca="false">1/(1+0.045)^15</f>
        <v>0.516720442315768</v>
      </c>
      <c r="I28" s="62" t="n">
        <f aca="false">1/(1+0.05)^15</f>
        <v>0.48101709809097</v>
      </c>
      <c r="J28" s="62" t="n">
        <f aca="false">1/(1+0.06)^15</f>
        <v>0.417265060735541</v>
      </c>
      <c r="K28" s="62" t="n">
        <f aca="false">1/(1+0.07)^15</f>
        <v>0.362446019642359</v>
      </c>
      <c r="L28" s="62" t="n">
        <f aca="false">1/(1+0.08)^15</f>
        <v>0.31524170496589</v>
      </c>
    </row>
    <row r="29" customFormat="false" ht="15" hidden="false" customHeight="false" outlineLevel="0" collapsed="false">
      <c r="B29" s="60" t="n">
        <v>20</v>
      </c>
      <c r="C29" s="62" t="n">
        <f aca="false">1/(1+0.02)^20</f>
        <v>0.672971333108058</v>
      </c>
      <c r="D29" s="62" t="n">
        <f aca="false">1/(1+0.025)^20</f>
        <v>0.610270942858831</v>
      </c>
      <c r="E29" s="62" t="n">
        <f aca="false">1/(1+0.03)^20</f>
        <v>0.553675754186335</v>
      </c>
      <c r="F29" s="62" t="n">
        <f aca="false">1/(1+0.035)^20</f>
        <v>0.502565884431671</v>
      </c>
      <c r="G29" s="62" t="n">
        <f aca="false">1/(1+0.04)^20</f>
        <v>0.456386946201292</v>
      </c>
      <c r="H29" s="62" t="n">
        <f aca="false">1/(1+0.045)^20</f>
        <v>0.414642859684584</v>
      </c>
      <c r="I29" s="62" t="n">
        <f aca="false">1/(1+0.05)^20</f>
        <v>0.376889482873</v>
      </c>
      <c r="J29" s="62" t="n">
        <f aca="false">1/(1+0.06)^20</f>
        <v>0.311804726886084</v>
      </c>
      <c r="K29" s="62" t="n">
        <f aca="false">1/(1+0.07)^20</f>
        <v>0.258419002813868</v>
      </c>
      <c r="L29" s="62" t="n">
        <f aca="false">1/(1+0.08)^20</f>
        <v>0.214548207404056</v>
      </c>
    </row>
    <row r="30" customFormat="false" ht="15" hidden="false" customHeight="false" outlineLevel="0" collapsed="false">
      <c r="B30" s="60" t="n">
        <v>25</v>
      </c>
      <c r="C30" s="62" t="n">
        <f aca="false">1/(1+0.02)^25</f>
        <v>0.609530870528279</v>
      </c>
      <c r="D30" s="62" t="n">
        <f aca="false">1/(1+0.025)^25</f>
        <v>0.53939058944928</v>
      </c>
      <c r="E30" s="62" t="n">
        <f aca="false">1/(1+0.03)^25</f>
        <v>0.477605569261659</v>
      </c>
      <c r="F30" s="62" t="n">
        <f aca="false">1/(1+0.035)^25</f>
        <v>0.423146989269989</v>
      </c>
      <c r="G30" s="62" t="n">
        <f aca="false">1/(1+0.04)^25</f>
        <v>0.375116802253964</v>
      </c>
      <c r="H30" s="62" t="n">
        <f aca="false">1/(1+0.045)^25</f>
        <v>0.332730596677931</v>
      </c>
      <c r="I30" s="62" t="n">
        <f aca="false">1/(1+0.05)^25</f>
        <v>0.295302771697762</v>
      </c>
      <c r="J30" s="62" t="n">
        <f aca="false">1/(1+0.06)^25</f>
        <v>0.232998630503895</v>
      </c>
      <c r="K30" s="62" t="n">
        <f aca="false">1/(1+0.07)^25</f>
        <v>0.184249177522239</v>
      </c>
      <c r="L30" s="62" t="n">
        <f aca="false">1/(1+0.08)^25</f>
        <v>0.146017904912913</v>
      </c>
    </row>
    <row r="31" customFormat="false" ht="15" hidden="false" customHeight="false" outlineLevel="0" collapsed="false">
      <c r="B31" s="60" t="n">
        <v>30</v>
      </c>
      <c r="C31" s="62" t="n">
        <f aca="false">1/(1+0.02)^30</f>
        <v>0.552070888979912</v>
      </c>
      <c r="D31" s="62" t="n">
        <f aca="false">1/(1+0.025)^30</f>
        <v>0.476742685180971</v>
      </c>
      <c r="E31" s="62" t="n">
        <f aca="false">1/(1+0.03)^30</f>
        <v>0.411986759515906</v>
      </c>
      <c r="F31" s="62" t="n">
        <f aca="false">1/(1+0.035)^30</f>
        <v>0.356278410602302</v>
      </c>
      <c r="G31" s="62" t="n">
        <f aca="false">1/(1+0.04)^30</f>
        <v>0.30831866797342</v>
      </c>
      <c r="H31" s="62" t="n">
        <f aca="false">1/(1+0.045)^30</f>
        <v>0.267000015507003</v>
      </c>
      <c r="I31" s="62" t="n">
        <f aca="false">1/(1+0.05)^30</f>
        <v>0.231377448655858</v>
      </c>
      <c r="J31" s="62" t="n">
        <f aca="false">1/(1+0.06)^30</f>
        <v>0.174110130910634</v>
      </c>
      <c r="K31" s="62" t="n">
        <f aca="false">1/(1+0.07)^30</f>
        <v>0.13136711715459</v>
      </c>
      <c r="L31" s="62" t="n">
        <f aca="false">1/(1+0.08)^30</f>
        <v>0.0993773325498012</v>
      </c>
    </row>
    <row r="32" customFormat="false" ht="15" hidden="false" customHeight="false" outlineLevel="0" collapsed="false">
      <c r="B32" s="60" t="n">
        <v>35</v>
      </c>
      <c r="C32" s="62" t="n">
        <f aca="false">1/(1+0.02)^35</f>
        <v>0.500027613359297</v>
      </c>
      <c r="D32" s="62" t="n">
        <f aca="false">1/(1+0.025)^35</f>
        <v>0.421371066383676</v>
      </c>
      <c r="E32" s="62" t="n">
        <f aca="false">1/(1+0.03)^35</f>
        <v>0.355383397808387</v>
      </c>
      <c r="F32" s="62" t="n">
        <f aca="false">1/(1+0.035)^35</f>
        <v>0.299976861658142</v>
      </c>
      <c r="G32" s="62" t="n">
        <f aca="false">1/(1+0.04)^35</f>
        <v>0.253415470727291</v>
      </c>
      <c r="H32" s="62" t="n">
        <f aca="false">1/(1+0.045)^35</f>
        <v>0.214254441859293</v>
      </c>
      <c r="I32" s="62" t="n">
        <f aca="false">1/(1+0.05)^35</f>
        <v>0.181290285352577</v>
      </c>
      <c r="J32" s="62" t="n">
        <f aca="false">1/(1+0.06)^35</f>
        <v>0.130105218301751</v>
      </c>
      <c r="K32" s="62" t="n">
        <f aca="false">1/(1+0.07)^35</f>
        <v>0.0936629389698343</v>
      </c>
      <c r="L32" s="62" t="n">
        <f aca="false">1/(1+0.08)^35</f>
        <v>0.0676345426994301</v>
      </c>
    </row>
    <row r="33" customFormat="false" ht="15" hidden="false" customHeight="false" outlineLevel="0" collapsed="false">
      <c r="B33" s="60" t="n">
        <v>40</v>
      </c>
      <c r="C33" s="62" t="n">
        <f aca="false">1/(1+0.02)^40</f>
        <v>0.452890415185236</v>
      </c>
      <c r="D33" s="62" t="n">
        <f aca="false">1/(1+0.025)^40</f>
        <v>0.372430623697806</v>
      </c>
      <c r="E33" s="62" t="n">
        <f aca="false">1/(1+0.03)^40</f>
        <v>0.306556840773806</v>
      </c>
      <c r="F33" s="62" t="n">
        <f aca="false">1/(1+0.035)^40</f>
        <v>0.252572468194587</v>
      </c>
      <c r="G33" s="62" t="n">
        <f aca="false">1/(1+0.04)^40</f>
        <v>0.208289044662941</v>
      </c>
      <c r="H33" s="62" t="n">
        <f aca="false">1/(1+0.045)^40</f>
        <v>0.17192870108741</v>
      </c>
      <c r="I33" s="62" t="n">
        <f aca="false">1/(1+0.05)^40</f>
        <v>0.142045682300278</v>
      </c>
      <c r="J33" s="62" t="n">
        <f aca="false">1/(1+0.06)^40</f>
        <v>0.0972221877085056</v>
      </c>
      <c r="K33" s="62" t="n">
        <f aca="false">1/(1+0.07)^40</f>
        <v>0.0667803810153141</v>
      </c>
      <c r="L33" s="62" t="n">
        <f aca="false">1/(1+0.08)^40</f>
        <v>0.046030933300294</v>
      </c>
    </row>
    <row r="34" customFormat="false" ht="15" hidden="false" customHeight="false" outlineLevel="0" collapsed="false">
      <c r="B34" s="60" t="n">
        <v>45</v>
      </c>
      <c r="C34" s="62" t="n">
        <f aca="false">1/(1+0.02)^45</f>
        <v>0.410196802509931</v>
      </c>
      <c r="D34" s="62" t="n">
        <f aca="false">1/(1+0.025)^45</f>
        <v>0.329174403592393</v>
      </c>
      <c r="E34" s="62" t="n">
        <f aca="false">1/(1+0.03)^45</f>
        <v>0.264438623764543</v>
      </c>
      <c r="F34" s="62" t="n">
        <f aca="false">1/(1+0.035)^45</f>
        <v>0.212659240907071</v>
      </c>
      <c r="G34" s="62" t="n">
        <f aca="false">1/(1+0.04)^45</f>
        <v>0.171198411849481</v>
      </c>
      <c r="H34" s="62" t="n">
        <f aca="false">1/(1+0.045)^45</f>
        <v>0.137964366111095</v>
      </c>
      <c r="I34" s="62" t="n">
        <f aca="false">1/(1+0.05)^45</f>
        <v>0.111296508916133</v>
      </c>
      <c r="J34" s="62" t="n">
        <f aca="false">1/(1+0.06)^45</f>
        <v>0.0726500743490987</v>
      </c>
      <c r="K34" s="62" t="n">
        <f aca="false">1/(1+0.07)^45</f>
        <v>0.0476134887245725</v>
      </c>
      <c r="L34" s="62" t="n">
        <f aca="false">1/(1+0.08)^45</f>
        <v>0.0313278797479616</v>
      </c>
    </row>
    <row r="35" customFormat="false" ht="15" hidden="false" customHeight="false" outlineLevel="0" collapsed="false">
      <c r="B35" s="60" t="n">
        <v>50</v>
      </c>
      <c r="C35" s="62" t="n">
        <f aca="false">1/(1+0.02)^50</f>
        <v>0.371527882126962</v>
      </c>
      <c r="D35" s="62" t="n">
        <f aca="false">1/(1+0.025)^50</f>
        <v>0.290942207986442</v>
      </c>
      <c r="E35" s="62" t="n">
        <f aca="false">1/(1+0.03)^50</f>
        <v>0.228107079789753</v>
      </c>
      <c r="F35" s="62" t="n">
        <f aca="false">1/(1+0.035)^50</f>
        <v>0.179053374528256</v>
      </c>
      <c r="G35" s="62" t="n">
        <f aca="false">1/(1+0.04)^50</f>
        <v>0.140712615333239</v>
      </c>
      <c r="H35" s="62" t="n">
        <f aca="false">1/(1+0.045)^50</f>
        <v>0.110709649965652</v>
      </c>
      <c r="I35" s="62" t="n">
        <f aca="false">1/(1+0.05)^50</f>
        <v>0.0872037269723805</v>
      </c>
      <c r="J35" s="62" t="n">
        <f aca="false">1/(1+0.06)^50</f>
        <v>0.0542883618166907</v>
      </c>
      <c r="K35" s="62" t="n">
        <f aca="false">1/(1+0.07)^50</f>
        <v>0.0339477594176217</v>
      </c>
      <c r="L35" s="62" t="n">
        <f aca="false">1/(1+0.08)^50</f>
        <v>0.0213212285551566</v>
      </c>
    </row>
    <row r="36" customFormat="false" ht="15" hidden="false" customHeight="false" outlineLevel="0" collapsed="false">
      <c r="B36" s="60" t="n">
        <v>55</v>
      </c>
      <c r="C36" s="62" t="n">
        <f aca="false">1/(1+0.02)^55</f>
        <v>0.336504249553246</v>
      </c>
      <c r="D36" s="62" t="n">
        <f aca="false">1/(1+0.025)^55</f>
        <v>0.257150517975397</v>
      </c>
      <c r="E36" s="62" t="n">
        <f aca="false">1/(1+0.03)^55</f>
        <v>0.196767170806861</v>
      </c>
      <c r="F36" s="62" t="n">
        <f aca="false">1/(1+0.035)^55</f>
        <v>0.150758136788261</v>
      </c>
      <c r="G36" s="62" t="n">
        <f aca="false">1/(1+0.04)^55</f>
        <v>0.115655512805391</v>
      </c>
      <c r="H36" s="62" t="n">
        <f aca="false">1/(1+0.045)^55</f>
        <v>0.0888390744726618</v>
      </c>
      <c r="I36" s="62" t="n">
        <f aca="false">1/(1+0.05)^55</f>
        <v>0.0683264018964314</v>
      </c>
      <c r="J36" s="62" t="n">
        <f aca="false">1/(1+0.06)^55</f>
        <v>0.0405674220590317</v>
      </c>
      <c r="K36" s="62" t="n">
        <f aca="false">1/(1+0.07)^55</f>
        <v>0.0242042832892008</v>
      </c>
      <c r="L36" s="62" t="n">
        <f aca="false">1/(1+0.08)^55</f>
        <v>0.0145108698947558</v>
      </c>
    </row>
    <row r="37" customFormat="false" ht="15" hidden="false" customHeight="false" outlineLevel="0" collapsed="false">
      <c r="B37" s="60" t="n">
        <v>60</v>
      </c>
      <c r="C37" s="62" t="n">
        <f aca="false">1/(1+0.02)^60</f>
        <v>0.30478226645907</v>
      </c>
      <c r="D37" s="62" t="n">
        <f aca="false">1/(1+0.025)^60</f>
        <v>0.227283587873563</v>
      </c>
      <c r="E37" s="62" t="n">
        <f aca="false">1/(1+0.03)^60</f>
        <v>0.169733090016417</v>
      </c>
      <c r="F37" s="62" t="n">
        <f aca="false">1/(1+0.035)^60</f>
        <v>0.126934305861303</v>
      </c>
      <c r="G37" s="62" t="n">
        <f aca="false">1/(1+0.04)^60</f>
        <v>0.0950604010209043</v>
      </c>
      <c r="H37" s="62" t="n">
        <f aca="false">1/(1+0.045)^60</f>
        <v>0.0712890082807396</v>
      </c>
      <c r="I37" s="62" t="n">
        <f aca="false">1/(1+0.05)^60</f>
        <v>0.0535355237464941</v>
      </c>
      <c r="J37" s="62" t="n">
        <f aca="false">1/(1+0.06)^60</f>
        <v>0.0303143376857182</v>
      </c>
      <c r="K37" s="62" t="n">
        <f aca="false">1/(1+0.07)^60</f>
        <v>0.0172573194695077</v>
      </c>
      <c r="L37" s="62" t="n">
        <f aca="false">1/(1+0.08)^60</f>
        <v>0.00987585422471377</v>
      </c>
    </row>
    <row r="38" customFormat="false" ht="15" hidden="false" customHeight="false" outlineLevel="0" collapsed="false">
      <c r="B38" s="60" t="n">
        <v>65</v>
      </c>
      <c r="C38" s="62" t="n">
        <f aca="false">1/(1+0.02)^65</f>
        <v>0.276050689021771</v>
      </c>
      <c r="D38" s="62" t="n">
        <f aca="false">1/(1+0.025)^65</f>
        <v>0.200885573645323</v>
      </c>
      <c r="E38" s="62" t="n">
        <f aca="false">1/(1+0.03)^65</f>
        <v>0.14641325444883</v>
      </c>
      <c r="F38" s="62" t="n">
        <f aca="false">1/(1+0.035)^65</f>
        <v>0.10687527948903</v>
      </c>
      <c r="G38" s="62" t="n">
        <f aca="false">1/(1+0.04)^65</f>
        <v>0.0781327203784955</v>
      </c>
      <c r="H38" s="62" t="n">
        <f aca="false">1/(1+0.045)^65</f>
        <v>0.0572059392988755</v>
      </c>
      <c r="I38" s="62" t="n">
        <f aca="false">1/(1+0.05)^65</f>
        <v>0.0419464836909717</v>
      </c>
      <c r="J38" s="62" t="n">
        <f aca="false">1/(1+0.06)^65</f>
        <v>0.0226526365906744</v>
      </c>
      <c r="K38" s="62" t="n">
        <f aca="false">1/(1+0.07)^65</f>
        <v>0.0123042302766934</v>
      </c>
      <c r="L38" s="62" t="n">
        <f aca="false">1/(1+0.08)^65</f>
        <v>0.00672134044169499</v>
      </c>
    </row>
    <row r="39" customFormat="false" ht="15" hidden="false" customHeight="false" outlineLevel="0" collapsed="false">
      <c r="B39" s="60" t="n">
        <v>70</v>
      </c>
      <c r="C39" s="62" t="n">
        <f aca="false">1/(1+0.02)^70</f>
        <v>0.250027614121795</v>
      </c>
      <c r="D39" s="62" t="n">
        <f aca="false">1/(1+0.025)^70</f>
        <v>0.177553575585316</v>
      </c>
      <c r="E39" s="62" t="n">
        <f aca="false">1/(1+0.03)^70</f>
        <v>0.126297359437834</v>
      </c>
      <c r="F39" s="62" t="n">
        <f aca="false">1/(1+0.035)^70</f>
        <v>0.0899861175302681</v>
      </c>
      <c r="G39" s="62" t="n">
        <f aca="false">1/(1+0.04)^70</f>
        <v>0.0642194008039343</v>
      </c>
      <c r="H39" s="62" t="n">
        <f aca="false">1/(1+0.045)^70</f>
        <v>0.0459049658564372</v>
      </c>
      <c r="I39" s="62" t="n">
        <f aca="false">1/(1+0.05)^70</f>
        <v>0.0328661675632188</v>
      </c>
      <c r="J39" s="62" t="n">
        <f aca="false">1/(1+0.06)^70</f>
        <v>0.0169273678293462</v>
      </c>
      <c r="K39" s="62" t="n">
        <f aca="false">1/(1+0.07)^70</f>
        <v>0.0087727461364669</v>
      </c>
      <c r="L39" s="62" t="n">
        <f aca="false">1/(1+0.08)^70</f>
        <v>0.00457443136616104</v>
      </c>
    </row>
    <row r="40" customFormat="false" ht="15" hidden="false" customHeight="false" outlineLevel="0" collapsed="false">
      <c r="B40" s="60" t="n">
        <v>75</v>
      </c>
      <c r="C40" s="62" t="n">
        <f aca="false">1/(1+0.02)^75</f>
        <v>0.226457713418375</v>
      </c>
      <c r="D40" s="62" t="n">
        <f aca="false">1/(1+0.025)^75</f>
        <v>0.156931489061482</v>
      </c>
      <c r="E40" s="62" t="n">
        <f aca="false">1/(1+0.03)^75</f>
        <v>0.1089452116956</v>
      </c>
      <c r="F40" s="62" t="n">
        <f aca="false">1/(1+0.035)^75</f>
        <v>0.0757658963502632</v>
      </c>
      <c r="G40" s="62" t="n">
        <f aca="false">1/(1+0.04)^75</f>
        <v>0.0527836663005969</v>
      </c>
      <c r="H40" s="62" t="n">
        <f aca="false">1/(1+0.045)^75</f>
        <v>0.0368364878910762</v>
      </c>
      <c r="I40" s="62" t="n">
        <f aca="false">1/(1+0.05)^75</f>
        <v>0.0257515022773188</v>
      </c>
      <c r="J40" s="62" t="n">
        <f aca="false">1/(1+0.06)^75</f>
        <v>0.0126491139555889</v>
      </c>
      <c r="K40" s="62" t="n">
        <f aca="false">1/(1+0.07)^75</f>
        <v>0.00625484675141965</v>
      </c>
      <c r="L40" s="62" t="n">
        <f aca="false">1/(1+0.08)^75</f>
        <v>0.00311328112379336</v>
      </c>
    </row>
    <row r="41" customFormat="false" ht="15" hidden="false" customHeight="false" outlineLevel="0" collapsed="false">
      <c r="B41" s="60" t="n">
        <v>80</v>
      </c>
      <c r="C41" s="62" t="n">
        <f aca="false">1/(1+0.02)^80</f>
        <v>0.205109728166655</v>
      </c>
      <c r="D41" s="62" t="n">
        <f aca="false">1/(1+0.025)^80</f>
        <v>0.138704569467937</v>
      </c>
      <c r="E41" s="62" t="n">
        <f aca="false">1/(1+0.03)^80</f>
        <v>0.0939770966252169</v>
      </c>
      <c r="F41" s="62" t="n">
        <f aca="false">1/(1+0.035)^80</f>
        <v>0.0637928516899058</v>
      </c>
      <c r="G41" s="62" t="n">
        <f aca="false">1/(1+0.04)^80</f>
        <v>0.0433843261266007</v>
      </c>
      <c r="H41" s="62" t="n">
        <f aca="false">1/(1+0.045)^80</f>
        <v>0.0295594782576039</v>
      </c>
      <c r="I41" s="62" t="n">
        <f aca="false">1/(1+0.05)^80</f>
        <v>0.0201769758601514</v>
      </c>
      <c r="J41" s="62" t="n">
        <f aca="false">1/(1+0.06)^80</f>
        <v>0.0094521537828279</v>
      </c>
      <c r="K41" s="62" t="n">
        <f aca="false">1/(1+0.07)^80</f>
        <v>0.00445961928855053</v>
      </c>
      <c r="L41" s="62" t="n">
        <f aca="false">1/(1+0.08)^80</f>
        <v>0.00211884682049612</v>
      </c>
    </row>
    <row r="43" customFormat="false" ht="19.4" hidden="false" customHeight="true" outlineLevel="0" collapsed="false">
      <c r="B43" s="8" t="s">
        <v>454</v>
      </c>
      <c r="C43" s="8"/>
      <c r="D43" s="8"/>
      <c r="E43" s="8"/>
      <c r="F43" s="8"/>
      <c r="G43" s="8"/>
      <c r="H43" s="8"/>
      <c r="I43" s="8"/>
      <c r="J43" s="8"/>
    </row>
  </sheetData>
  <sheetProtection sheet="true" formatColumns="false" formatRows="false"/>
  <mergeCells count="5">
    <mergeCell ref="B2:H2"/>
    <mergeCell ref="B3:H3"/>
    <mergeCell ref="B5:H5"/>
    <mergeCell ref="B24:H24"/>
    <mergeCell ref="B43:J4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2026-06-22T05:02:57Z</dcterms:created>
  <dc:creator>openpyxl</dc:creator>
  <dc:description/>
  <dc:language>en-US</dc:language>
  <cp:lastModifiedBy/>
  <dcterms:modified xsi:type="dcterms:W3CDTF">2026-06-22T05:02:57Z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